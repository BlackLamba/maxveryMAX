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affa\Downloads\"/>
    </mc:Choice>
  </mc:AlternateContent>
  <xr:revisionPtr revIDLastSave="0" documentId="13_ncr:1_{95E9FC81-89E6-4E4B-A1D4-8710026A82ED}" xr6:coauthVersionLast="47" xr6:coauthVersionMax="47" xr10:uidLastSave="{00000000-0000-0000-0000-000000000000}"/>
  <bookViews>
    <workbookView xWindow="-120" yWindow="-120" windowWidth="29040" windowHeight="15720" tabRatio="500" firstSheet="3" activeTab="7" xr2:uid="{00000000-000D-0000-FFFF-FFFF00000000}"/>
  </bookViews>
  <sheets>
    <sheet name="Резюме" sheetId="1" r:id="rId1"/>
    <sheet name="Рынок и динамика" sheetId="2" r:id="rId2"/>
    <sheet name="Аудитория и поведение" sheetId="3" r:id="rId3"/>
    <sheet name="Конкурентный ландшафт" sheetId="4" r:id="rId4"/>
    <sheet name="Боли и возможности" sheetId="5" r:id="rId5"/>
    <sheet name="Продуктовые гипотезы (RICE)" sheetId="6" r:id="rId6"/>
    <sheet name="TAM-SAM-SOM" sheetId="7" r:id="rId7"/>
    <sheet name="Источники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0" i="7" l="1"/>
  <c r="D10" i="7"/>
  <c r="C21" i="7" s="1"/>
  <c r="H14" i="6"/>
  <c r="H13" i="6"/>
  <c r="H12" i="6"/>
  <c r="H11" i="6"/>
  <c r="H10" i="6"/>
  <c r="H9" i="6"/>
  <c r="H8" i="6"/>
  <c r="H7" i="6"/>
  <c r="H6" i="6"/>
  <c r="F8" i="2"/>
  <c r="E8" i="2"/>
  <c r="D8" i="2"/>
  <c r="C8" i="2"/>
  <c r="F7" i="2"/>
  <c r="F6" i="2"/>
  <c r="D13" i="7" l="1"/>
  <c r="C22" i="7" l="1"/>
  <c r="D16" i="7"/>
</calcChain>
</file>

<file path=xl/sharedStrings.xml><?xml version="1.0" encoding="utf-8"?>
<sst xmlns="http://schemas.openxmlformats.org/spreadsheetml/2006/main" count="296" uniqueCount="280">
  <si>
    <t>Продуктовый анализ рынка досуга и развлечений в России</t>
  </si>
  <si>
    <t>Для проекта: агрегатор / приложение / бот, упрощающий доступ к досугу в России  •  Сентябрь 2026</t>
  </si>
  <si>
    <t>Ключевые цифры рынка</t>
  </si>
  <si>
    <t>353 млрд ₽</t>
  </si>
  <si>
    <t>+29%</t>
  </si>
  <si>
    <t>477 млн</t>
  </si>
  <si>
    <t>60%</t>
  </si>
  <si>
    <t>Прогноз объёма рынка офлайн-
развлечений РФ по итогам 2026 г.
(+14% г/г)</t>
  </si>
  <si>
    <t>Рост рынка офлайн-развлечений
в 2025 г. к 2024 г.</t>
  </si>
  <si>
    <t>Прогноз кол-ва проданных
билетов за 2026 г. (+2% г/г)</t>
  </si>
  <si>
    <t>Доля семейно-групповых
заказов билетов (2 и более)</t>
  </si>
  <si>
    <t>Источник: OKS Labs by Okkam, 2026</t>
  </si>
  <si>
    <t>Источник: OKS Labs by Okkam</t>
  </si>
  <si>
    <t>Источник: Яндекс Афиша, Q2 2026</t>
  </si>
  <si>
    <t>65%</t>
  </si>
  <si>
    <t>73%</t>
  </si>
  <si>
    <t>+48%</t>
  </si>
  <si>
    <t>10,4 млрд ₽</t>
  </si>
  <si>
    <t>Россиян хотя бы раз ездили
в другой город ради концерта</t>
  </si>
  <si>
    <t>Доля зумеров (18–24),
вовлечённых в событийный туризм</t>
  </si>
  <si>
    <t>Рост сегмента кино по чекам
Яндекс Афиши, Q2 2026 г/г</t>
  </si>
  <si>
    <t>Выручка Яндекс Афиши
от продажи билетов, Q2 2026 (+30% г/г)</t>
  </si>
  <si>
    <t>Источник: Авито Путешествия, март 2026</t>
  </si>
  <si>
    <t>Источник: исследование «Развитие туризма в регионах», 2026</t>
  </si>
  <si>
    <t>Источник: Яндекс Афиша</t>
  </si>
  <si>
    <t>Источник: Lenta.ru / Яндекс</t>
  </si>
  <si>
    <t>Главные выводы</t>
  </si>
  <si>
    <t>●</t>
  </si>
  <si>
    <t>Рынок офлайн-досуга растёт быстрее, чем количество проданных билетов — драйвер роста это цена, а не объём аудитории. Это создаёт запрос на прозрачность цен и поиск выгодных предложений.</t>
  </si>
  <si>
    <t>Досуг всё больше «социальный» и семейный: 60% бронирований — групповые. Инструментов для совместного планирования (голосование, сплит-оплата) на рынке практически нет.</t>
  </si>
  <si>
    <t>Событийный туризм стал массовым явлением (65% россиян), особенно среди молодёжи — но поиск и логистика поездки «билет + дорога + жильё» разрознены между разными сервисами.</t>
  </si>
  <si>
    <t>Новые форматы (VR/AR, иммерсивные шоу, фиджитал-квесты, боулинг-арены) растут быстро, но слабо представлены в классических афишах и плохо поддаются алгоритмическому поиску.</t>
  </si>
  <si>
    <t>Экосистемы (Яндекс, Сбер) двигаются в сторону ИИ-подбора досуга (ИИ-чат в Яндекс Картах, июль 2026) — это и конкурентная угроза, и подтверждение спроса на персонализацию.</t>
  </si>
  <si>
    <t>Подписочная модель ушла в мейнстрим (мультиподписки Яндекс Плюс/СберПрайм), но именно узкоспециализированной подписки «на офлайн-досуг» с кэшбэком и приоритетным доступом на рынке нет.</t>
  </si>
  <si>
    <t>Структура книги</t>
  </si>
  <si>
    <t>2. Рынок и динамика</t>
  </si>
  <si>
    <t>Объём рынка, сегменты, темпы роста, структура спроса — с графиками.</t>
  </si>
  <si>
    <t>3. Аудитория и поведение</t>
  </si>
  <si>
    <t>Кто и как потребляет досуг: семьи, поколения, событийный туризм, подписки.</t>
  </si>
  <si>
    <t>4. Конкурентный ландшафт</t>
  </si>
  <si>
    <t>Ключевые игроки (Яндекс Афиша, KudaGo, Timepad, Kassir.ru и др.) и их сильные/слабые стороны.</t>
  </si>
  <si>
    <t>5. Боли пользователей и возможности</t>
  </si>
  <si>
    <t>Проблемы аудитории → продуктовые ответы.</t>
  </si>
  <si>
    <t>6. Продуктовые гипотезы (RICE)</t>
  </si>
  <si>
    <t>Приоритизация функций будущего приложения/бота по методике RICE.</t>
  </si>
  <si>
    <t>7. Оценка потенциала (TAM-SAM-SOM)</t>
  </si>
  <si>
    <t>Оценка адресуемого рынка с редактируемыми допущениями.</t>
  </si>
  <si>
    <t>8. Источники</t>
  </si>
  <si>
    <t>Полный список источников с датами и ссылками.</t>
  </si>
  <si>
    <t>Методология: анализ построен на открытых данных СМИ и отраслевых исследований (см. лист «Источники»), актуальных на сентябрь 2026 г. Оценки в листе TAM-SAM-SOM и приоритизация RICE — экспертные допущения аналитика, явно помечены и вынесены в редактируемые ячейки.</t>
  </si>
  <si>
    <t>Общий рынок офлайн-развлечений России (без учёта онлайн-подписок на видео/музыку)</t>
  </si>
  <si>
    <t>Структура мероприятий по типам, 2025</t>
  </si>
  <si>
    <t>Источник: OKS Labs by Okkam (данные приводятся Ведомости, rb.ru, сентябрь 2026)</t>
  </si>
  <si>
    <t>Тип мероприятия</t>
  </si>
  <si>
    <t>Доля, %</t>
  </si>
  <si>
    <t>Показатель</t>
  </si>
  <si>
    <t>2025 (факт/оценка)</t>
  </si>
  <si>
    <t>1П 2026 (факт)</t>
  </si>
  <si>
    <t>Прогноз, весь 2026</t>
  </si>
  <si>
    <t>Динамика 2026 к 2025</t>
  </si>
  <si>
    <t>Концерты</t>
  </si>
  <si>
    <t>Расходы на офлайн-развлечения, млрд ₽</t>
  </si>
  <si>
    <t>Спектакли</t>
  </si>
  <si>
    <t>Продано билетов, млн шт.</t>
  </si>
  <si>
    <t>Детские события</t>
  </si>
  <si>
    <t>Средний чек на билет, ₽ (расчётно)</t>
  </si>
  <si>
    <t>Стендап-шоу</t>
  </si>
  <si>
    <t>Столбец «1П 2026» — данные за первое полугодие (для справки о темпе набора), не складывайте его напрямую с 2025 годом. Динамика в последнем столбце считается как «Прогноз, весь 2026» к «2025» (год к году). Оценка 2025 г. рассчитана обратным счётом из объявленного роста +29% (2025 к 2024) и прогноза на 2026 (+14% к 2025); средний чек — расчётная величина (расходы / билеты), в источнике не приводится напрямую.</t>
  </si>
  <si>
    <t>Выставки/шоу-программы</t>
  </si>
  <si>
    <t>Фестивали</t>
  </si>
  <si>
    <t>Прочее</t>
  </si>
  <si>
    <t>Оценочно, по данным Коммерсантъ со ссылкой на холдинг «ON Медиа» и агентство Onside (2025 г.). Доли округлены для наглядности.</t>
  </si>
  <si>
    <t>Самые быстрорастущие категории и география рынка</t>
  </si>
  <si>
    <t>Категория / срез</t>
  </si>
  <si>
    <t>Кино, рост чеков Q2 2026 г/г (Яндекс Афиша)</t>
  </si>
  <si>
    <t>Спорт, рост чеков Q2 2026 г/г</t>
  </si>
  <si>
    <t>Цирк, рост чеков Q2 2026 г/г</t>
  </si>
  <si>
    <t>Общий рост продаж билетов Яндекс Афиши, Q2 2026 г/г</t>
  </si>
  <si>
    <t>Рост среднего чека на концерты, 1П 2026 г/г</t>
  </si>
  <si>
    <t>Доля Москвы в рынке офлайн-развлечений</t>
  </si>
  <si>
    <t>Доля городов-миллионников (кроме Москвы)</t>
  </si>
  <si>
    <t>Источники: Lenta.ru / Sport24 (Яндекс Афиша, Q2 2026), Рамблер/Финансы (OKS Labs, 1П 2026), AdIndex (Коммерсантъ, ON Медиа/Onside).</t>
  </si>
  <si>
    <t>Кто и как выбирает досуг</t>
  </si>
  <si>
    <t>Вовлечённость в событийный туризм по поколениям</t>
  </si>
  <si>
    <t>Мотивы поездок ради событий</t>
  </si>
  <si>
    <t>Экономика подписок на сервисы</t>
  </si>
  <si>
    <t>Поколение</t>
  </si>
  <si>
    <t>Доля вовлечённых, %</t>
  </si>
  <si>
    <t>Мотив поездки</t>
  </si>
  <si>
    <t>Доля путешественников</t>
  </si>
  <si>
    <t>Значение</t>
  </si>
  <si>
    <t>Зумеры, 18–24 года</t>
  </si>
  <si>
    <t>Музыкальные фестивали / концерты</t>
  </si>
  <si>
    <t>Тратят на подписки не более 1000 ₽/мес</t>
  </si>
  <si>
    <t>66% пользователей</t>
  </si>
  <si>
    <t>Миллениалы, 25–34 года</t>
  </si>
  <si>
    <t>Локальные праздники и гуляния</t>
  </si>
  <si>
    <t>...из них укладываются в 500 ₽/мес</t>
  </si>
  <si>
    <t>39%</t>
  </si>
  <si>
    <t>Старшее поколение вовлечено заметно меньше (точные цифры источник не приводит).</t>
  </si>
  <si>
    <t>Спортивные турниры</t>
  </si>
  <si>
    <t>Прогноз расходов активного пользователя
(3–5 подписок) в год, 2026</t>
  </si>
  <si>
    <t>25 000–32 000 ₽</t>
  </si>
  <si>
    <t>Деловые форумы</t>
  </si>
  <si>
    <t>Экономия при переходе на мультиподписку
вместо отдельных сервисов</t>
  </si>
  <si>
    <t>30–50%</t>
  </si>
  <si>
    <t>Негативный опыт от поездки испытал только 1% путешественников.</t>
  </si>
  <si>
    <t>Источник: Ведomости (Mail Finance, май 2026); 3news.ru про мультиподписки (февраль 2026).</t>
  </si>
  <si>
    <t>Совместные заказы и география молодёжного приключенческого туризма</t>
  </si>
  <si>
    <t>Доля совместно-семейных заказов билетов
(2+ билета в одном бронировании), Q2 2026</t>
  </si>
  <si>
    <t>Рост спроса на гастро- и экскурсионные туры
в ЮФО/СКФО у миллениалов, 1кв. 2026 г/г</t>
  </si>
  <si>
    <t>Доля Gen Z среди туристов в Адыгею</t>
  </si>
  <si>
    <t>Доля Gen Z среди туристов в Карачаево-Черкесию</t>
  </si>
  <si>
    <t>Источники: Lenta.ru/Sport24 (Яндекс Афиша, Q2 2026); Ведомости пресс-релиз «В погоне за адреналином» (июль 2026). Рост «в 2,5 раза» показан как коэффициент (2.5x).</t>
  </si>
  <si>
    <t>Ключевые игроки рынка досуга и билетинга в России</t>
  </si>
  <si>
    <t>Качественный анализ на основе открытых данных сервисов и СМИ, сентябрь 2026</t>
  </si>
  <si>
    <t>Игрок</t>
  </si>
  <si>
    <t>Тип продукта</t>
  </si>
  <si>
    <t>Сильные стороны</t>
  </si>
  <si>
    <t>Слабые стороны / gap</t>
  </si>
  <si>
    <t>Монетизация</t>
  </si>
  <si>
    <t>Яндекс Афиша</t>
  </si>
  <si>
    <t>Экосистемный маркетплейс билетов</t>
  </si>
  <si>
    <t>Дистрибуция через Кинопоиск, Яндекс Музыку, Яндекс Go; кешбэк до 30% по Плюсу; ИИ-чат в Яндекс Картах уже подбирает досуг; выручка 10,4 млрд ₽ за Q2 2026 (+30% г/г)</t>
  </si>
  <si>
    <t>Фокус на билетинге, а не на «новых форматах» (VR/квесты/иммерсив); персонализация пока привязана к экосистеме Яндекса в целом, а не к сценарию похода компанией</t>
  </si>
  <si>
    <t>Комиссия с продажи билетов, кешбэк как удержание в экосистеме Плюс</t>
  </si>
  <si>
    <t>KudaGo</t>
  </si>
  <si>
    <t>Городской гид/афиша с личным «вайбом»</t>
  </si>
  <si>
    <t>Работает без регистрации; офлайн-кэш данных; персонализация по категориям («Мой вайб»); фокус на подборе, а не только продаже</t>
  </si>
  <si>
    <t>Покрывает всего 5 городов; нет собственного билетинга полного цикла для всех форматов; слабое покрытие новых нишевых форматов</t>
  </si>
  <si>
    <t>Реклама и продвижение событий для организаторов (Pro.KudaGo)</t>
  </si>
  <si>
    <t>Timepad</t>
  </si>
  <si>
    <t>SaaS-платформа для организаторов + афиша</t>
  </si>
  <si>
    <t>Сильный B2B-инструмент для создания и продвижения мероприятий; интеграции с партнёрскими афишами</t>
  </si>
  <si>
    <t>Для конечного пользователя менее «витринный» продукт — заточен под организаторов, а не под сценарий поиска досуга</t>
  </si>
  <si>
    <t>Комиссия с продаж билетов организаторов, платное продвижение</t>
  </si>
  <si>
    <t>Kassir.ru / Мосбилет</t>
  </si>
  <si>
    <t>Билетные маркетплейсы</t>
  </si>
  <si>
    <t>Широкий охват театральных и концертных афиш; Мосбилет позиционируется как продажа «без наценки»</t>
  </si>
  <si>
    <t>Классический билетинг без персонализации и без покрытия активного/нового досуга (VR, квесты, гастро)</t>
  </si>
  <si>
    <t>Комиссия с билета / наценка агрегатора</t>
  </si>
  <si>
    <t>ИИ-чат в Яндекс Картах</t>
  </si>
  <si>
    <t>ИИ-рекомендатель мест и досуга (запущен июль 2026)</t>
  </si>
  <si>
    <t>Подбирает выставки, концерты, места для активного отдыха по нескольким критериям (график работы, меню и т.д.)</t>
  </si>
  <si>
    <t>Встроен в карты, а не в сценарий бронирования/оплаты; ранняя стадия, узкий охват форматов</t>
  </si>
  <si>
    <t>Часть экосистемы Яндекса, прямая монетизация не раскрыта</t>
  </si>
  <si>
    <t>Мультиподписки (Яндекс Плюс, СберПрайм)</t>
  </si>
  <si>
    <t>Экосистемные подписки с бонусами на билеты</t>
  </si>
  <si>
    <t>Кешбэк на билеты, ранний доступ, скидки партнёров; уже приучили пользователя платить за «доступ» ежемесячно</t>
  </si>
  <si>
    <t>Развлечения — лишь один из многих доменов подписки; нет фокуса на офлайн-досуге как отдельном продукте</t>
  </si>
  <si>
    <t>Абонентская плата (449 ₽/мес или 3490 ₽/год и аналоги)</t>
  </si>
  <si>
    <t>Вывод: белое пятно рынка</t>
  </si>
  <si>
    <t>Ни один из игроков не закрывает полный сценарий «нашли компанию → выбрали формат (включая новые: VR, квесты, иммерсив, боулинг, гастро) → согласовали с друзьями/семьёй → оплатили вместе → доехали, если событие в другом городе». Каждый сервис хорош в своей нише (билетинг, гид, B2B-инструмент, ИИ-подсказки), но нет продукта, который бы связывал персонализацию, групповое планирование и покрытие новых форматов в одном месте — это и есть ниша для нового приложения/бота.</t>
  </si>
  <si>
    <t>От проблем аудитории — к продуктовым решениям</t>
  </si>
  <si>
    <t>Проблема / инсайт с рынка</t>
  </si>
  <si>
    <t>Почему это боль</t>
  </si>
  <si>
    <t>Продуктовая возможность</t>
  </si>
  <si>
    <t>Информационная перегрузка: сотни событий в афишах, сложно выбрать «своё»</t>
  </si>
  <si>
    <t>Классические афиши — это списки, а не рекомендации; пользователь тратит время на фильтрацию под свой бюджет, компанию и настроение</t>
  </si>
  <si>
    <t>ИИ-подбор досуга по «вайбу», бюджету, составу компании и истории посещений (аналог ИИ-чата Яндекс Карт, но с фокусом на бронирование, а не только совет)</t>
  </si>
  <si>
    <t>Разрозненность форматов: концерты, кино, квесты, VR, боулинг, гастро — на разных сайтах и в разных приложениях</t>
  </si>
  <si>
    <t>Нет ни одного продукта, покрывающего и классику (концерты/театр), и новые форматы (VR/иммерсив/фиджитал), которые растут быстрее рынка</t>
  </si>
  <si>
    <t>Единая витрина всех форматов досуга в городе с фильтрами по типу впечатления, а не только по категории мероприятия</t>
  </si>
  <si>
    <t>60% заказов — семейные/групповые, но инструментов для совместного решения нет</t>
  </si>
  <si>
    <t>Планирование похода компанией = переписки в мессенджере, ручной сбор денег, споры «куда идём»</t>
  </si>
  <si>
    <t>Групповое планирование: общая доска с вариантами, голосование, сплит-оплата и напоминания участникам</t>
  </si>
  <si>
    <t>Рынок растёт в деньгах (+19–29%) быстрее, чем в билетах (+2–6%) — цены растут быстрее посещаемости</t>
  </si>
  <si>
    <t>Ощущение, что развлечения дорожают быстрее доходов; нет прозрачного сравнения цен и понимания, где реальная скидка</t>
  </si>
  <si>
    <t>Агрегация цен без наценки + персональный кешбэк/подписка с реальной экономией, а не просто баллами внутри одной экосистемы</t>
  </si>
  <si>
    <t>Событийный туризм стал массовым (65% ездили в другой город ради концерта), но логистика разрознена</t>
  </si>
  <si>
    <t>Билет покупается в одном сервисе, жильё — в другом, дорога — в третьем; отдельно нужно искать, что ещё посмотреть в этом городе</t>
  </si>
  <si>
    <t>Модуль «поездка на событие»: билет + жильё + маршрут + рекомендации по городу в одном сценарии</t>
  </si>
  <si>
    <t>Новые форматы (VR-клубы, иммерсивные шоу, фиджитал-квесты) растут, но плохо описаны в стандартных афишах</t>
  </si>
  <si>
    <t>Пользователь не всегда знает, что такой формат вообще существует рядом с ним — это скорее «открытие», чем «поиск»</t>
  </si>
  <si>
    <t>Отдельная витрина открытий: карточки новых форматов с видео/фото, отзывами первых посетителей, рекомендациями «похоже на то, что вам нравилось»</t>
  </si>
  <si>
    <t>Небольшим и региональным площадкам (не Москва/миллионники) сложно быть заметными</t>
  </si>
  <si>
    <t>70% рынка сосредоточено в Москве, 22,5% — в городах-миллионниках; остальные регионы недопредставлены в афишах</t>
  </si>
  <si>
    <t>Упрощённый B2B-кабинет для небольших организаторов/площадок — самостоятельная публикация событий и аналитика спроса, что расширяет региональное покрытие продукта</t>
  </si>
  <si>
    <t>Приоритизация фич по методике RICE</t>
  </si>
  <si>
    <t>RICE = (Reach × Impact × Confidence) / Effort. Reach — сколько пользователей затронет фича за квартал (баллы 1–10), Impact — сила эффекта на пользователя (0,25 / 0,5 / 1 / 2 / 3), Confidence — уверенность в оценке (0–100%), Effort — трудозатраты в человеко-месяцах. Значения в жёлтых ячейках — экспертные допущения команды анализа, их можно менять.</t>
  </si>
  <si>
    <t>Фича</t>
  </si>
  <si>
    <t>Описание</t>
  </si>
  <si>
    <t>Reach
(1–10)</t>
  </si>
  <si>
    <t>Impact
(0.25–3)</t>
  </si>
  <si>
    <t>Confidence
(0–100%)</t>
  </si>
  <si>
    <t>Effort
(чел.-мес.)</t>
  </si>
  <si>
    <t>RICE score</t>
  </si>
  <si>
    <t>AI-подбор досуга</t>
  </si>
  <si>
    <t>Персональные рекомендации по бюджету, составу компании, истории и «вайбу», в диалоговом или карточном формате</t>
  </si>
  <si>
    <t>Единая витрина форматов</t>
  </si>
  <si>
    <t>Все форматы досуга города (концерты, кино, квесты, VR, боулинг, гастро, иммерсив) в одном каталоге с общими фильтрами</t>
  </si>
  <si>
    <t>Групповое планирование</t>
  </si>
  <si>
    <t>Общая доска предложений, голосование за вариант, приглашение друзей, синхронизация календарей</t>
  </si>
  <si>
    <t>Сплит-оплата в группе</t>
  </si>
  <si>
    <t>Разделение стоимости билетов между участниками похода прямо в приложении/боте</t>
  </si>
  <si>
    <t>Сравнение цен без наценки</t>
  </si>
  <si>
    <t>Прозрачное сравнение цены на одно событие в разных источниках, подсветка официальной цены</t>
  </si>
  <si>
    <t>Модуль «поездка на событие»</t>
  </si>
  <si>
    <t>Билет + жильё + маршрут по городу для событийных туристов, едущих в другой город</t>
  </si>
  <si>
    <t>Витрина новых форматов</t>
  </si>
  <si>
    <t>Отдельная лента открытий: VR-клубы, иммерсивные шоу, фиджитал-квесты с видео и отзывами первых посетителей</t>
  </si>
  <si>
    <t>B2B-кабинет для малых площадок</t>
  </si>
  <si>
    <t>Самостоятельная публикация событий и аналитика спроса для региональных организаторов</t>
  </si>
  <si>
    <t>Подписка с кэшбэком на билеты</t>
  </si>
  <si>
    <t>Платная подписка с реальной скидкой/кэшбэком и приоритетным доступом к продажам</t>
  </si>
  <si>
    <t>Жёлтые ячейки (Reach/Impact/Confidence/Effort) — редактируемые допущения. Итоговый RICE score считается формулой и обновится автоматически при изменении входных значений.</t>
  </si>
  <si>
    <t>Оценка адресуемого рынка (TAM → SAM → SOM)</t>
  </si>
  <si>
    <t>Синяя ячейка — вводимое допущение (можно менять), чёрный текст — формула, которая пересчитается автоматически. Модель — иллюстративная оценка для гипотезы продукта, а не отраслевой прогноз.</t>
  </si>
  <si>
    <t>Уровень</t>
  </si>
  <si>
    <t>Расчёт</t>
  </si>
  <si>
    <t>TAM — весь рынок офлайн-развлечений РФ, 2026 (прогноз)</t>
  </si>
  <si>
    <t>Прогноз OKS Labs by Okkam на 2026 год, млрд ₽</t>
  </si>
  <si>
    <t>Допущение: доля рынка, потенциально проходящая через цифровые сервисы бронирования/подбора</t>
  </si>
  <si>
    <t>SAM — сегмент, адресуемый цифровым продуктом (агрегатор/подбор/бронирование)</t>
  </si>
  <si>
    <t>Допущение: реалистичная доля SAM, достижимая новым продуктом за 3 года (Y3 SOM)</t>
  </si>
  <si>
    <t>SOM — реалистично достижимый оборот через продукт на 3-й год</t>
  </si>
  <si>
    <t>Допущение: комиссия/take rate продукта с оборота (билетинг + подписка, blended)</t>
  </si>
  <si>
    <t>Потенциальная выручка продукта на 3-й год</t>
  </si>
  <si>
    <t>млрд ₽</t>
  </si>
  <si>
    <t>TAM</t>
  </si>
  <si>
    <t>SAM</t>
  </si>
  <si>
    <t>SOM</t>
  </si>
  <si>
    <t>Источники данных</t>
  </si>
  <si>
    <t>Издание / автор</t>
  </si>
  <si>
    <t>Дата</t>
  </si>
  <si>
    <t>Ссылка</t>
  </si>
  <si>
    <t>RB.RU — «Рынок офлайн-развлечений в России вырастет на 14% — до 353 млрд рублей»</t>
  </si>
  <si>
    <t>сентябрь 2026</t>
  </si>
  <si>
    <t>https://rb.ru/news/rynok-oflajn-razvlechenij-vyrastet-do-353-mlrd-rublej-pochti-tret-rashodov-rossiyan-pridyotsya-na-koncerty/</t>
  </si>
  <si>
    <t>T-Bank Secrets — «Траты на офлайн-развлечения в России растут»</t>
  </si>
  <si>
    <t>https://secrets.tbank.ru/novosti/traty-na-oflajn-razvlecheniya-v-rossii-rastut/</t>
  </si>
  <si>
    <t>AdIndex — «Рынок офлайн-развлечений в России вырастет до 165 млрд рублей в 2026 году»</t>
  </si>
  <si>
    <t>13 марта 2026</t>
  </si>
  <si>
    <t>https://adindex.ru/news/tendencies/2026/03/13/343061.phtml</t>
  </si>
  <si>
    <t>Рамблер/Финансы — «Офлайн-развлечения в 2026 году: рост рынка +14% и тренд на рациональность»</t>
  </si>
  <si>
    <t>август-сентябрь 2026</t>
  </si>
  <si>
    <t>https://finance.rambler.ru/business/57008554-oflayn-razvlecheniya-v-2026-godu-rost-rynka-14-i-trend-na-ratsionalnost/</t>
  </si>
  <si>
    <t>WEK.ru — «Рост рынка развлечений в России усиливает спрос на семейный досуг в регионах»</t>
  </si>
  <si>
    <t>4 апреля 2026</t>
  </si>
  <si>
    <t>https://wek.ru/rost-rynka-razvlechenij-v-rossii-usilivaet-spros-na-semejnyj-dosug-v-regionax</t>
  </si>
  <si>
    <t>Sport24.ru — «Яндекс Афиша продала 5,7 млн билетов за второй квартал 2026 года»</t>
  </si>
  <si>
    <t>30 июля 2026</t>
  </si>
  <si>
    <t>https://amp.sport24.ru/football/news-869930-yandeks-afisha-prodala-57mln-biletov-za-vtoroy-kvartal-2026-goda-superfinal-kr-v-tope-samykh-populyarnykh-sobytiy</t>
  </si>
  <si>
    <t>Lenta.ru — «Более половины продаж Яндекс Афиши во втором квартале 2026 года пришлось на концерты»</t>
  </si>
  <si>
    <t>31 июля 2026</t>
  </si>
  <si>
    <t>https://lenta.ru/news/2026/07/31/bolee-poloviny-prodazh-yandeks-afishi-vo-vtorom-kvartale-2026-goda-prishlos-na-kontserty/</t>
  </si>
  <si>
    <t>Techinsider.ru — «Главные тренды индустрии развлечений в 2026 году» (интервью СТО развлекательных сервисов Яндекса)</t>
  </si>
  <si>
    <t>15 января 2026</t>
  </si>
  <si>
    <t>https://www.techinsider.ru/technologies/1722819-tehnologii-vidite-a-oni-est-glavnye-trendy-industrii-razvlechenii-v-2026-godu/</t>
  </si>
  <si>
    <t>RuStore — карточка приложения KUDAGO</t>
  </si>
  <si>
    <t>29 июля 2026</t>
  </si>
  <si>
    <t>https://www.rustore.ru/catalog/app/com.kudago.android</t>
  </si>
  <si>
    <t>TopFranchise.ru — «Лучшие франшизы квестов 2026 года»</t>
  </si>
  <si>
    <t>2026</t>
  </si>
  <si>
    <t>https://topfranchise.ru/catalog/franshiza-kvestov-v-realnosti/</t>
  </si>
  <si>
    <t>Отдел N — «WE ARE VR: как клуб виртуальной реальности в Москве превращает игры в формат отдыха»</t>
  </si>
  <si>
    <t>23 июня 2026</t>
  </si>
  <si>
    <t>https://otdeln.ru/obshhestvo/2026/06/23/we-are-vr-kak-klub-virtualnoj-realnosti-v-moskve-prevrashhaet-igry-v-polnocennyj-format-otdyxa/</t>
  </si>
  <si>
    <t>РБК Стиль — «Тренды туризма в 2026 году: топ-7, как изменятся путешествия»</t>
  </si>
  <si>
    <t>https://style.rbc.ru/impressions/69876e4e9a7947ff3b95ff1d</t>
  </si>
  <si>
    <t>Известия — «Эксперт назвала главный тренд культурного туризма в России»</t>
  </si>
  <si>
    <t>27 июня 2026</t>
  </si>
  <si>
    <t>https://iz.ru/2120945/2026-06-27/ekspert-nazvala-glavnyi-trend-kulturnogo-turizma-v-rossii</t>
  </si>
  <si>
    <t>Рамблер/Путешествия — «Как событийный туризм захватил Россию в 2026 году» (данные Авито Путешествия)</t>
  </si>
  <si>
    <t>https://travel.rambler.ru/local/57044413-kazhdyy-vtoroy-rossiyanin-gotov-ehat-v-drugoy-gorod-radi-festivalya/</t>
  </si>
  <si>
    <t>Ведомости (пресс-релиз) — «В погоне за адреналином: куда молодёжь едет за приключениями в августе и сентябре 2026 года»</t>
  </si>
  <si>
    <t>https://www.vedomosti.ru/press_releases/2026/07/29/v-pogone-za-adrenalinom-kuda-molodyozh-edet-za-priklyucheniyami-v-avguste-i-sentyabre-2026-goda</t>
  </si>
  <si>
    <t>TAdviser / ixbt.com — «ИИ-чат в Яндекс Картах научился советовать, куда сходить»</t>
  </si>
  <si>
    <t>8 июля – 22 июля 2026</t>
  </si>
  <si>
    <t>https://www.ixbt.com/news/2026/07/08/iichat-v-jandeks-kartah-nauchilsja-sovetovat-kuda-shodit.html</t>
  </si>
  <si>
    <t>Ведомости (пресс-релиз) — «Подписочная модель в России: трансформация потребления цифровых сервисов» (Mail Finance)</t>
  </si>
  <si>
    <t>8 мая 2026</t>
  </si>
  <si>
    <t>https://www.vedomosti.ru/press_releases/2026/05/08/podpisochnaya-model-v-rossii-transformatsiya-potrebleniya-tsifrovih-servisov</t>
  </si>
  <si>
    <t>3news.ru — «Мультиподписки 2026: что это такое и как начать экономить на развлечениях и сервисах»</t>
  </si>
  <si>
    <t>9 февраля 2026</t>
  </si>
  <si>
    <t>https://3news.ru/multipodpiski-2026-chto-eto-takoe-i-kak-nachat-ekonomit-na-razvlecheniyah-i-servisah/</t>
  </si>
  <si>
    <t>Рамблер/Жизненные ситуации — «Подписка СберПрайм: преимущества, цена и стоит ли оформлять в 2026 году»</t>
  </si>
  <si>
    <t>10 февраля 2026</t>
  </si>
  <si>
    <t>https://life.rambler.ru/instructions/56003958-podpiska-sberpraym-preimuschestva-tsena-i-stoit-li-oformlyat-v-2026-godu/</t>
  </si>
  <si>
    <t>Данные приведены по состоянию на сентябрь 2026 г. Даты в источниках 2026 г. отражают дату публикации материала на момент проведения анализа. Оценки в листах «Продуктовые гипотезы (RICE)» и «TAM-SAM-SOM» являются экспертными допущениями аналитика, а не данными из внешних источников.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</si>
</sst>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#,##0.0"/>
    <numFmt numFmtId="166" formatCode="0.0\x"/>
    <numFmt numFmtId="167" formatCode="0.0"/>
    <numFmt numFmtId="168" formatCode="#,##0&quot; млрд ₽&quot;"/>
    <numFmt numFmtId="169" formatCode="#,##0.0&quot; млрд ₽&quot;"/>
    <numFmt numFmtId="170" formatCode="#,##0&quot; млн ₽&quot;"/>
  </numFmts>
  <fonts count="20" x14ac:knownFonts="1">
    <font>
      <sz val="11"/>
      <color theme="1"/>
      <name val="Calibri"/>
      <family val="2"/>
      <charset val="1"/>
    </font>
    <font>
      <b/>
      <sz val="22"/>
      <color rgb="FF1F3864"/>
      <name val="Arial"/>
      <charset val="1"/>
    </font>
    <font>
      <i/>
      <sz val="12"/>
      <color rgb="FF1F3864"/>
      <name val="Arial"/>
      <charset val="1"/>
    </font>
    <font>
      <b/>
      <sz val="14"/>
      <color rgb="FF1F3864"/>
      <name val="Arial"/>
      <charset val="1"/>
    </font>
    <font>
      <sz val="9"/>
      <color rgb="FF595959"/>
      <name val="Arial"/>
      <charset val="1"/>
    </font>
    <font>
      <i/>
      <sz val="9"/>
      <color rgb="FF7F7F7F"/>
      <name val="Arial"/>
      <charset val="1"/>
    </font>
    <font>
      <b/>
      <sz val="10"/>
      <color rgb="FFC00000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3"/>
      <color rgb="FF1F3864"/>
      <name val="Arial"/>
      <charset val="1"/>
    </font>
    <font>
      <b/>
      <sz val="12"/>
      <color rgb="FF1F3864"/>
      <name val="Arial"/>
      <charset val="1"/>
    </font>
    <font>
      <b/>
      <sz val="11"/>
      <color rgb="FFFFFFFF"/>
      <name val="Arial"/>
      <charset val="1"/>
    </font>
    <font>
      <b/>
      <sz val="15"/>
      <color rgb="FF1F3864"/>
      <name val="Arial"/>
      <charset val="1"/>
    </font>
    <font>
      <b/>
      <sz val="11"/>
      <color rgb="FF1F3864"/>
      <name val="Arial"/>
      <charset val="1"/>
    </font>
    <font>
      <sz val="10"/>
      <color rgb="FF1F3864"/>
      <name val="Arial"/>
      <charset val="1"/>
    </font>
    <font>
      <b/>
      <sz val="10"/>
      <color rgb="FF1F3864"/>
      <name val="Arial"/>
      <charset val="1"/>
    </font>
    <font>
      <b/>
      <sz val="11"/>
      <color rgb="FF0000FF"/>
      <name val="Arial"/>
      <charset val="1"/>
    </font>
    <font>
      <b/>
      <sz val="11"/>
      <color rgb="FFC00000"/>
      <name val="Arial"/>
      <charset val="1"/>
    </font>
    <font>
      <b/>
      <sz val="12"/>
      <color rgb="FF375623"/>
      <name val="Arial"/>
      <charset val="1"/>
    </font>
    <font>
      <u/>
      <sz val="9"/>
      <color rgb="FF0563C1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EAF0FA"/>
        <bgColor rgb="FFF2F2F2"/>
      </patternFill>
    </fill>
    <fill>
      <patternFill patternType="solid">
        <fgColor rgb="FF1F3864"/>
        <bgColor rgb="FF375623"/>
      </patternFill>
    </fill>
    <fill>
      <patternFill patternType="solid">
        <fgColor rgb="FFF2F2F2"/>
        <bgColor rgb="FFEAF0FA"/>
      </patternFill>
    </fill>
    <fill>
      <patternFill patternType="solid">
        <fgColor rgb="FFFFF2CC"/>
        <bgColor rgb="FFFFFFCC"/>
      </patternFill>
    </fill>
    <fill>
      <patternFill patternType="solid">
        <fgColor rgb="FFFFFFCC"/>
        <b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2" fillId="0" borderId="0" xfId="0" applyFont="1" applyBorder="1"/>
    <xf numFmtId="0" fontId="5" fillId="0" borderId="0" xfId="0" applyFont="1" applyBorder="1"/>
    <xf numFmtId="0" fontId="10" fillId="0" borderId="0" xfId="0" applyFont="1" applyBorder="1"/>
    <xf numFmtId="0" fontId="9" fillId="0" borderId="0" xfId="0" applyFont="1" applyBorder="1"/>
    <xf numFmtId="0" fontId="5" fillId="0" borderId="0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0" xfId="0" applyFont="1" applyBorder="1"/>
    <xf numFmtId="0" fontId="2" fillId="2" borderId="0" xfId="0" applyFont="1" applyFill="1" applyBorder="1"/>
    <xf numFmtId="0" fontId="1" fillId="2" borderId="0" xfId="0" applyFont="1" applyFill="1" applyBorder="1" applyAlignment="1">
      <alignment vertical="center"/>
    </xf>
    <xf numFmtId="0" fontId="11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164" fontId="7" fillId="5" borderId="1" xfId="0" applyNumberFormat="1" applyFont="1" applyFill="1" applyBorder="1" applyAlignment="1">
      <alignment horizontal="left" vertical="center"/>
    </xf>
    <xf numFmtId="165" fontId="7" fillId="5" borderId="1" xfId="0" applyNumberFormat="1" applyFont="1" applyFill="1" applyBorder="1" applyAlignment="1">
      <alignment horizontal="left" vertical="center"/>
    </xf>
    <xf numFmtId="3" fontId="7" fillId="0" borderId="1" xfId="0" applyNumberFormat="1" applyFont="1" applyBorder="1" applyAlignment="1">
      <alignment horizontal="left" vertical="center"/>
    </xf>
    <xf numFmtId="9" fontId="7" fillId="0" borderId="1" xfId="0" applyNumberFormat="1" applyFont="1" applyBorder="1" applyAlignment="1">
      <alignment horizontal="left" vertical="center"/>
    </xf>
    <xf numFmtId="9" fontId="7" fillId="5" borderId="1" xfId="0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166" fontId="7" fillId="5" borderId="1" xfId="0" applyNumberFormat="1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top" wrapText="1"/>
    </xf>
    <xf numFmtId="0" fontId="14" fillId="6" borderId="1" xfId="0" applyFont="1" applyFill="1" applyBorder="1" applyAlignment="1">
      <alignment horizontal="center" vertical="center"/>
    </xf>
    <xf numFmtId="9" fontId="14" fillId="6" borderId="1" xfId="0" applyNumberFormat="1" applyFont="1" applyFill="1" applyBorder="1" applyAlignment="1">
      <alignment horizontal="center" vertical="center"/>
    </xf>
    <xf numFmtId="167" fontId="15" fillId="0" borderId="1" xfId="0" applyNumberFormat="1" applyFont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top" wrapText="1"/>
    </xf>
    <xf numFmtId="168" fontId="16" fillId="7" borderId="1" xfId="0" applyNumberFormat="1" applyFont="1" applyFill="1" applyBorder="1"/>
    <xf numFmtId="0" fontId="0" fillId="0" borderId="1" xfId="0" applyBorder="1"/>
    <xf numFmtId="9" fontId="16" fillId="7" borderId="1" xfId="0" applyNumberFormat="1" applyFont="1" applyFill="1" applyBorder="1"/>
    <xf numFmtId="168" fontId="13" fillId="0" borderId="1" xfId="0" applyNumberFormat="1" applyFont="1" applyBorder="1"/>
    <xf numFmtId="164" fontId="16" fillId="7" borderId="1" xfId="0" applyNumberFormat="1" applyFont="1" applyFill="1" applyBorder="1"/>
    <xf numFmtId="169" fontId="17" fillId="0" borderId="1" xfId="0" applyNumberFormat="1" applyFont="1" applyBorder="1"/>
    <xf numFmtId="170" fontId="18" fillId="0" borderId="1" xfId="0" applyNumberFormat="1" applyFont="1" applyBorder="1"/>
    <xf numFmtId="0" fontId="11" fillId="4" borderId="0" xfId="0" applyFont="1" applyFill="1"/>
    <xf numFmtId="0" fontId="8" fillId="0" borderId="1" xfId="0" applyFont="1" applyBorder="1"/>
    <xf numFmtId="165" fontId="0" fillId="0" borderId="1" xfId="0" applyNumberFormat="1" applyBorder="1"/>
    <xf numFmtId="0" fontId="19" fillId="0" borderId="1" xfId="0" applyFont="1" applyBorder="1" applyAlignment="1">
      <alignment horizontal="left" vertical="top" wrapText="1"/>
    </xf>
    <xf numFmtId="0" fontId="19" fillId="5" borderId="1" xfId="0" applyFont="1" applyFill="1" applyBorder="1" applyAlignment="1">
      <alignment horizontal="left" vertical="top" wrapText="1"/>
    </xf>
    <xf numFmtId="0" fontId="13" fillId="0" borderId="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BFBFBF"/>
      <rgbColor rgb="FF7F7F7F"/>
      <rgbColor rgb="FF93A9CE"/>
      <rgbColor rgb="FFAB4744"/>
      <rgbColor rgb="FFFFFFCC"/>
      <rgbColor rgb="FFEAF0FA"/>
      <rgbColor rgb="FF660066"/>
      <rgbColor rgb="FFDC853E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E2F3"/>
      <rgbColor rgb="FFFFF2CC"/>
      <rgbColor rgb="FF99CCFF"/>
      <rgbColor rgb="FFFF99CC"/>
      <rgbColor rgb="FFCC99FF"/>
      <rgbColor rgb="FFF9F9F9"/>
      <rgbColor rgb="FF4672A8"/>
      <rgbColor rgb="FF33CCCC"/>
      <rgbColor rgb="FF99CC00"/>
      <rgbColor rgb="FFFFCC00"/>
      <rgbColor rgb="FFFF9900"/>
      <rgbColor rgb="FFFF6600"/>
      <rgbColor rgb="FF725990"/>
      <rgbColor rgb="FF878787"/>
      <rgbColor rgb="FF1F3864"/>
      <rgbColor rgb="FF4299B0"/>
      <rgbColor rgb="FF003300"/>
      <rgbColor rgb="FF333300"/>
      <rgbColor rgb="FF993300"/>
      <rgbColor rgb="FFC0504D"/>
      <rgbColor rgb="FF59595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Объём рынка офлайн-развлечений, млрд ₽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'Рынок и динамика'!$C$5:$E$5</c:f>
              <c:strCache>
                <c:ptCount val="3"/>
                <c:pt idx="0">
                  <c:v>2025 (факт/оценка)</c:v>
                </c:pt>
                <c:pt idx="1">
                  <c:v>1П 2026 (факт)</c:v>
                </c:pt>
                <c:pt idx="2">
                  <c:v>Прогноз, весь 2026</c:v>
                </c:pt>
              </c:strCache>
            </c:strRef>
          </c:cat>
          <c:val>
            <c:numRef>
              <c:f>'Рынок и динамика'!$C$5:$E$5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61-4F54-83E3-CA7D5E426096}"/>
            </c:ext>
          </c:extLst>
        </c:ser>
        <c:ser>
          <c:idx val="1"/>
          <c:order val="1"/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'Рынок и динамика'!$C$5:$E$5</c:f>
              <c:strCache>
                <c:ptCount val="3"/>
                <c:pt idx="0">
                  <c:v>2025 (факт/оценка)</c:v>
                </c:pt>
                <c:pt idx="1">
                  <c:v>1П 2026 (факт)</c:v>
                </c:pt>
                <c:pt idx="2">
                  <c:v>Прогноз, весь 2026</c:v>
                </c:pt>
              </c:strCache>
            </c:strRef>
          </c:cat>
          <c:val>
            <c:numRef>
              <c:f>'Рынок и динамика'!$C$6:$E$6</c:f>
              <c:numCache>
                <c:formatCode>#\ ##0.0</c:formatCode>
                <c:ptCount val="3"/>
                <c:pt idx="0">
                  <c:v>309.60000000000002</c:v>
                </c:pt>
                <c:pt idx="1">
                  <c:v>165</c:v>
                </c:pt>
                <c:pt idx="2">
                  <c:v>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61-4F54-83E3-CA7D5E426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500923"/>
        <c:axId val="86680527"/>
      </c:barChart>
      <c:catAx>
        <c:axId val="755009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86680527"/>
        <c:crosses val="autoZero"/>
        <c:auto val="1"/>
        <c:lblAlgn val="ctr"/>
        <c:lblOffset val="100"/>
        <c:noMultiLvlLbl val="0"/>
      </c:catAx>
      <c:valAx>
        <c:axId val="866805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ru-RU" sz="1000" b="1" strike="noStrike" spc="-1">
                    <a:solidFill>
                      <a:srgbClr val="000000"/>
                    </a:solidFill>
                    <a:latin typeface="Calibri"/>
                  </a:rPr>
                  <a:t>млрд ₽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755009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Доля типов мероприятий в 2025 г.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45319826731446"/>
          <c:y val="0.17202542194752285"/>
          <c:w val="0.53385432908916952"/>
          <c:h val="0.71838734750597222"/>
        </c:manualLayout>
      </c:layout>
      <c:pieChart>
        <c:varyColors val="1"/>
        <c:ser>
          <c:idx val="0"/>
          <c:order val="0"/>
          <c:tx>
            <c:strRef>
              <c:f>'Рынок и динамика'!$I$4</c:f>
              <c:strCache>
                <c:ptCount val="1"/>
                <c:pt idx="0">
                  <c:v>Доля,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9266-424C-99A4-9DC7F6D62E20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266-424C-99A4-9DC7F6D62E20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9266-424C-99A4-9DC7F6D62E20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9266-424C-99A4-9DC7F6D62E20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9266-424C-99A4-9DC7F6D62E20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9266-424C-99A4-9DC7F6D62E20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9266-424C-99A4-9DC7F6D62E20}"/>
              </c:ext>
            </c:extLst>
          </c:dPt>
          <c:cat>
            <c:strRef>
              <c:f>'Рынок и динамика'!$H$5:$H$11</c:f>
              <c:strCache>
                <c:ptCount val="7"/>
                <c:pt idx="0">
                  <c:v>Концерты</c:v>
                </c:pt>
                <c:pt idx="1">
                  <c:v>Спектакли</c:v>
                </c:pt>
                <c:pt idx="2">
                  <c:v>Детские события</c:v>
                </c:pt>
                <c:pt idx="3">
                  <c:v>Стендап-шоу</c:v>
                </c:pt>
                <c:pt idx="4">
                  <c:v>Выставки/шоу-программы</c:v>
                </c:pt>
                <c:pt idx="5">
                  <c:v>Фестивали</c:v>
                </c:pt>
                <c:pt idx="6">
                  <c:v>Прочее</c:v>
                </c:pt>
              </c:strCache>
            </c:strRef>
          </c:cat>
          <c:val>
            <c:numRef>
              <c:f>'Рынок и динамика'!$I$5:$I$11</c:f>
              <c:numCache>
                <c:formatCode>0.0%</c:formatCode>
                <c:ptCount val="7"/>
                <c:pt idx="0">
                  <c:v>0.47</c:v>
                </c:pt>
                <c:pt idx="1">
                  <c:v>0.32</c:v>
                </c:pt>
                <c:pt idx="2">
                  <c:v>0.115</c:v>
                </c:pt>
                <c:pt idx="3">
                  <c:v>0.06</c:v>
                </c:pt>
                <c:pt idx="4">
                  <c:v>0.03</c:v>
                </c:pt>
                <c:pt idx="5">
                  <c:v>2E-3</c:v>
                </c:pt>
                <c:pt idx="6">
                  <c:v>3.0000000000000001E-3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266-424C-99A4-9DC7F6D62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Рост категорий и география рынка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'Рынок и динамика'!$C$31</c:f>
              <c:strCache>
                <c:ptCount val="1"/>
                <c:pt idx="0">
                  <c:v>Показатель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'Рынок и динамика'!$B$32:$B$38</c:f>
              <c:strCache>
                <c:ptCount val="7"/>
                <c:pt idx="0">
                  <c:v>Кино, рост чеков Q2 2026 г/г (Яндекс Афиша)</c:v>
                </c:pt>
                <c:pt idx="1">
                  <c:v>Спорт, рост чеков Q2 2026 г/г</c:v>
                </c:pt>
                <c:pt idx="2">
                  <c:v>Цирк, рост чеков Q2 2026 г/г</c:v>
                </c:pt>
                <c:pt idx="3">
                  <c:v>Общий рост продаж билетов Яндекс Афиши, Q2 2026 г/г</c:v>
                </c:pt>
                <c:pt idx="4">
                  <c:v>Рост среднего чека на концерты, 1П 2026 г/г</c:v>
                </c:pt>
                <c:pt idx="5">
                  <c:v>Доля Москвы в рынке офлайн-развлечений</c:v>
                </c:pt>
                <c:pt idx="6">
                  <c:v>Доля городов-миллионников (кроме Москвы)</c:v>
                </c:pt>
              </c:strCache>
            </c:strRef>
          </c:cat>
          <c:val>
            <c:numRef>
              <c:f>'Рынок и динамика'!$C$32:$C$38</c:f>
              <c:numCache>
                <c:formatCode>0%</c:formatCode>
                <c:ptCount val="7"/>
                <c:pt idx="0">
                  <c:v>0.48</c:v>
                </c:pt>
                <c:pt idx="1">
                  <c:v>0.44</c:v>
                </c:pt>
                <c:pt idx="2">
                  <c:v>0.42</c:v>
                </c:pt>
                <c:pt idx="3">
                  <c:v>0.3</c:v>
                </c:pt>
                <c:pt idx="4">
                  <c:v>0.14000000000000001</c:v>
                </c:pt>
                <c:pt idx="5">
                  <c:v>0.7</c:v>
                </c:pt>
                <c:pt idx="6">
                  <c:v>0.22500000000000001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7B-4106-BBC0-CAB63908F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403349"/>
        <c:axId val="72140113"/>
      </c:barChart>
      <c:catAx>
        <c:axId val="4040334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72140113"/>
        <c:crosses val="autoZero"/>
        <c:auto val="1"/>
        <c:lblAlgn val="ctr"/>
        <c:lblOffset val="100"/>
        <c:noMultiLvlLbl val="0"/>
      </c:catAx>
      <c:valAx>
        <c:axId val="7214011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404033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Доля вовлечённых в событийный туризм, %</a:t>
            </a:r>
          </a:p>
        </c:rich>
      </c:tx>
      <c:layout>
        <c:manualLayout>
          <c:xMode val="edge"/>
          <c:yMode val="edge"/>
          <c:x val="0.22307330384868732"/>
          <c:y val="2.7842023917833147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'Аудитория и поведение'!$C$5</c:f>
              <c:strCache>
                <c:ptCount val="1"/>
                <c:pt idx="0">
                  <c:v>Доля вовлечённых,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'Аудитория и поведение'!$B$6:$B$7</c:f>
              <c:strCache>
                <c:ptCount val="2"/>
                <c:pt idx="0">
                  <c:v>Зумеры, 18–24 года</c:v>
                </c:pt>
                <c:pt idx="1">
                  <c:v>Миллениалы, 25–34 года</c:v>
                </c:pt>
              </c:strCache>
            </c:strRef>
          </c:cat>
          <c:val>
            <c:numRef>
              <c:f>'Аудитория и поведение'!$C$6:$C$7</c:f>
              <c:numCache>
                <c:formatCode>0%</c:formatCode>
                <c:ptCount val="2"/>
                <c:pt idx="0">
                  <c:v>0.73</c:v>
                </c:pt>
                <c:pt idx="1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A3-4231-8740-24A0F8B17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674460"/>
        <c:axId val="97451989"/>
      </c:barChart>
      <c:catAx>
        <c:axId val="526744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7451989"/>
        <c:crosses val="autoZero"/>
        <c:auto val="1"/>
        <c:lblAlgn val="ctr"/>
        <c:lblOffset val="100"/>
        <c:noMultiLvlLbl val="0"/>
      </c:catAx>
      <c:valAx>
        <c:axId val="974519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526744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Мотивы событийных поездок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'Аудитория и поведение'!$F$5</c:f>
              <c:strCache>
                <c:ptCount val="1"/>
                <c:pt idx="0">
                  <c:v>Доля путешественников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'Аудитория и поведение'!$E$6:$E$9</c:f>
              <c:strCache>
                <c:ptCount val="4"/>
                <c:pt idx="0">
                  <c:v>Музыкальные фестивали / концерты</c:v>
                </c:pt>
                <c:pt idx="1">
                  <c:v>Локальные праздники и гуляния</c:v>
                </c:pt>
                <c:pt idx="2">
                  <c:v>Спортивные турниры</c:v>
                </c:pt>
                <c:pt idx="3">
                  <c:v>Деловые форумы</c:v>
                </c:pt>
              </c:strCache>
            </c:strRef>
          </c:cat>
          <c:val>
            <c:numRef>
              <c:f>'Аудитория и поведение'!$F$6:$F$9</c:f>
              <c:numCache>
                <c:formatCode>0%</c:formatCode>
                <c:ptCount val="4"/>
                <c:pt idx="0">
                  <c:v>0.43</c:v>
                </c:pt>
                <c:pt idx="1">
                  <c:v>0.4</c:v>
                </c:pt>
                <c:pt idx="2">
                  <c:v>0.19</c:v>
                </c:pt>
                <c:pt idx="3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7D-45E1-832F-19712851E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991361"/>
        <c:axId val="75116690"/>
      </c:barChart>
      <c:catAx>
        <c:axId val="8399136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75116690"/>
        <c:crosses val="autoZero"/>
        <c:auto val="1"/>
        <c:lblAlgn val="ctr"/>
        <c:lblOffset val="100"/>
        <c:noMultiLvlLbl val="0"/>
      </c:catAx>
      <c:valAx>
        <c:axId val="7511669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839913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Приоритет фич по 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RICE score (</a:t>
            </a: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выше — приоритетнее)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'Продуктовые гипотезы (RICE)'!$H$5</c:f>
              <c:strCache>
                <c:ptCount val="1"/>
                <c:pt idx="0">
                  <c:v>RICE score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'Продуктовые гипотезы (RICE)'!$B$6:$B$14</c:f>
              <c:strCache>
                <c:ptCount val="9"/>
                <c:pt idx="0">
                  <c:v>AI-подбор досуга</c:v>
                </c:pt>
                <c:pt idx="1">
                  <c:v>Единая витрина форматов</c:v>
                </c:pt>
                <c:pt idx="2">
                  <c:v>Групповое планирование</c:v>
                </c:pt>
                <c:pt idx="3">
                  <c:v>Сплит-оплата в группе</c:v>
                </c:pt>
                <c:pt idx="4">
                  <c:v>Сравнение цен без наценки</c:v>
                </c:pt>
                <c:pt idx="5">
                  <c:v>Модуль «поездка на событие»</c:v>
                </c:pt>
                <c:pt idx="6">
                  <c:v>Витрина новых форматов</c:v>
                </c:pt>
                <c:pt idx="7">
                  <c:v>B2B-кабинет для малых площадок</c:v>
                </c:pt>
                <c:pt idx="8">
                  <c:v>Подписка с кэшбэком на билеты</c:v>
                </c:pt>
              </c:strCache>
            </c:strRef>
          </c:cat>
          <c:val>
            <c:numRef>
              <c:f>'Продуктовые гипотезы (RICE)'!$H$6:$H$14</c:f>
              <c:numCache>
                <c:formatCode>0.0</c:formatCode>
                <c:ptCount val="9"/>
                <c:pt idx="0">
                  <c:v>3.6</c:v>
                </c:pt>
                <c:pt idx="1">
                  <c:v>4.5</c:v>
                </c:pt>
                <c:pt idx="2">
                  <c:v>3.2666666666666662</c:v>
                </c:pt>
                <c:pt idx="3">
                  <c:v>1.3999999999999997</c:v>
                </c:pt>
                <c:pt idx="4">
                  <c:v>1.7999999999999998</c:v>
                </c:pt>
                <c:pt idx="5">
                  <c:v>1</c:v>
                </c:pt>
                <c:pt idx="6">
                  <c:v>2.0999999999999996</c:v>
                </c:pt>
                <c:pt idx="7">
                  <c:v>0.6</c:v>
                </c:pt>
                <c:pt idx="8">
                  <c:v>1.6666666666666667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D-4664-9482-7D6275C39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924623"/>
        <c:axId val="95181076"/>
      </c:barChart>
      <c:catAx>
        <c:axId val="64924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5181076"/>
        <c:crosses val="autoZero"/>
        <c:auto val="1"/>
        <c:lblAlgn val="ctr"/>
        <c:lblOffset val="100"/>
        <c:noMultiLvlLbl val="0"/>
      </c:catAx>
      <c:valAx>
        <c:axId val="9518107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649246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Воронка 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TAM → SAM → SOM, </a:t>
            </a: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млрд ₽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'TAM-SAM-SOM'!$C$19</c:f>
              <c:strCache>
                <c:ptCount val="1"/>
                <c:pt idx="0">
                  <c:v>млрд ₽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'TAM-SAM-SOM'!$B$20:$B$22</c:f>
              <c:strCache>
                <c:ptCount val="3"/>
                <c:pt idx="0">
                  <c:v>TAM</c:v>
                </c:pt>
                <c:pt idx="1">
                  <c:v>SAM</c:v>
                </c:pt>
                <c:pt idx="2">
                  <c:v>SOM</c:v>
                </c:pt>
              </c:strCache>
            </c:strRef>
          </c:cat>
          <c:val>
            <c:numRef>
              <c:f>'TAM-SAM-SOM'!$C$20:$C$22</c:f>
              <c:numCache>
                <c:formatCode>#\ ##0.0</c:formatCode>
                <c:ptCount val="3"/>
                <c:pt idx="0">
                  <c:v>353</c:v>
                </c:pt>
                <c:pt idx="1">
                  <c:v>123.55</c:v>
                </c:pt>
                <c:pt idx="2">
                  <c:v>2.4710000000000001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AB-4083-90EE-EFEE8B5C8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250798"/>
        <c:axId val="85807632"/>
      </c:barChart>
      <c:catAx>
        <c:axId val="9625079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85807632"/>
        <c:crosses val="autoZero"/>
        <c:auto val="1"/>
        <c:lblAlgn val="ctr"/>
        <c:lblOffset val="100"/>
        <c:noMultiLvlLbl val="0"/>
      </c:catAx>
      <c:valAx>
        <c:axId val="8580763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\ 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62507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176040</xdr:rowOff>
    </xdr:from>
    <xdr:to>
      <xdr:col>4</xdr:col>
      <xdr:colOff>324720</xdr:colOff>
      <xdr:row>23</xdr:row>
      <xdr:rowOff>17085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66674</xdr:colOff>
      <xdr:row>15</xdr:row>
      <xdr:rowOff>166154</xdr:rowOff>
    </xdr:from>
    <xdr:to>
      <xdr:col>15</xdr:col>
      <xdr:colOff>95250</xdr:colOff>
      <xdr:row>36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40</xdr:row>
      <xdr:rowOff>68040</xdr:rowOff>
    </xdr:from>
    <xdr:to>
      <xdr:col>5</xdr:col>
      <xdr:colOff>997200</xdr:colOff>
      <xdr:row>57</xdr:row>
      <xdr:rowOff>69120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504825</xdr:colOff>
      <xdr:row>11</xdr:row>
      <xdr:rowOff>140430</xdr:rowOff>
    </xdr:from>
    <xdr:to>
      <xdr:col>18</xdr:col>
      <xdr:colOff>1155</xdr:colOff>
      <xdr:row>23</xdr:row>
      <xdr:rowOff>296025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219075</xdr:colOff>
      <xdr:row>11</xdr:row>
      <xdr:rowOff>130905</xdr:rowOff>
    </xdr:from>
    <xdr:to>
      <xdr:col>8</xdr:col>
      <xdr:colOff>1058415</xdr:colOff>
      <xdr:row>23</xdr:row>
      <xdr:rowOff>286500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145440</xdr:rowOff>
    </xdr:from>
    <xdr:to>
      <xdr:col>7</xdr:col>
      <xdr:colOff>604440</xdr:colOff>
      <xdr:row>36</xdr:row>
      <xdr:rowOff>104760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17</xdr:row>
      <xdr:rowOff>145440</xdr:rowOff>
    </xdr:from>
    <xdr:to>
      <xdr:col>13</xdr:col>
      <xdr:colOff>147600</xdr:colOff>
      <xdr:row>32</xdr:row>
      <xdr:rowOff>167400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6"/>
  <sheetViews>
    <sheetView showGridLines="0" topLeftCell="A24" zoomScaleNormal="100" workbookViewId="0">
      <selection activeCell="H39" sqref="H39"/>
    </sheetView>
  </sheetViews>
  <sheetFormatPr defaultColWidth="8.7109375" defaultRowHeight="15" x14ac:dyDescent="0.25"/>
  <cols>
    <col min="1" max="1" width="3" customWidth="1"/>
    <col min="2" max="9" width="15" customWidth="1"/>
    <col min="10" max="10" width="3" customWidth="1"/>
  </cols>
  <sheetData>
    <row r="2" spans="2:9" x14ac:dyDescent="0.25">
      <c r="B2" s="14" t="s">
        <v>0</v>
      </c>
      <c r="C2" s="14"/>
      <c r="D2" s="14"/>
      <c r="E2" s="14"/>
      <c r="F2" s="14"/>
      <c r="G2" s="14"/>
      <c r="H2" s="14"/>
      <c r="I2" s="14"/>
    </row>
    <row r="3" spans="2:9" x14ac:dyDescent="0.25">
      <c r="B3" s="14"/>
      <c r="C3" s="14"/>
      <c r="D3" s="14"/>
      <c r="E3" s="14"/>
      <c r="F3" s="14"/>
      <c r="G3" s="14"/>
      <c r="H3" s="14"/>
      <c r="I3" s="14"/>
    </row>
    <row r="4" spans="2:9" ht="19.5" customHeight="1" x14ac:dyDescent="0.25">
      <c r="B4" s="13" t="s">
        <v>1</v>
      </c>
      <c r="C4" s="13"/>
      <c r="D4" s="13"/>
      <c r="E4" s="13"/>
      <c r="F4" s="13"/>
      <c r="G4" s="13"/>
      <c r="H4" s="13"/>
      <c r="I4" s="13"/>
    </row>
    <row r="6" spans="2:9" ht="18" x14ac:dyDescent="0.25">
      <c r="B6" s="12" t="s">
        <v>2</v>
      </c>
      <c r="C6" s="12"/>
      <c r="D6" s="12"/>
      <c r="E6" s="12"/>
      <c r="F6" s="12"/>
      <c r="G6" s="12"/>
      <c r="H6" s="12"/>
      <c r="I6" s="12"/>
    </row>
    <row r="7" spans="2:9" ht="15" customHeight="1" x14ac:dyDescent="0.25">
      <c r="B7" s="11" t="s">
        <v>3</v>
      </c>
      <c r="C7" s="11"/>
      <c r="D7" s="11" t="s">
        <v>4</v>
      </c>
      <c r="E7" s="11"/>
      <c r="F7" s="11" t="s">
        <v>5</v>
      </c>
      <c r="G7" s="11"/>
      <c r="H7" s="11" t="s">
        <v>6</v>
      </c>
      <c r="I7" s="11"/>
    </row>
    <row r="8" spans="2:9" x14ac:dyDescent="0.25">
      <c r="B8" s="11"/>
      <c r="C8" s="11"/>
      <c r="D8" s="11"/>
      <c r="E8" s="11"/>
      <c r="F8" s="11"/>
      <c r="G8" s="11"/>
      <c r="H8" s="11"/>
      <c r="I8" s="11"/>
    </row>
    <row r="9" spans="2:9" x14ac:dyDescent="0.25">
      <c r="B9" s="11"/>
      <c r="C9" s="11"/>
      <c r="D9" s="11"/>
      <c r="E9" s="11"/>
      <c r="F9" s="11"/>
      <c r="G9" s="11"/>
      <c r="H9" s="11"/>
      <c r="I9" s="11"/>
    </row>
    <row r="10" spans="2:9" ht="52.5" customHeight="1" x14ac:dyDescent="0.25">
      <c r="B10" s="10" t="s">
        <v>7</v>
      </c>
      <c r="C10" s="10"/>
      <c r="D10" s="10" t="s">
        <v>8</v>
      </c>
      <c r="E10" s="10"/>
      <c r="F10" s="10" t="s">
        <v>9</v>
      </c>
      <c r="G10" s="10"/>
      <c r="H10" s="10" t="s">
        <v>10</v>
      </c>
      <c r="I10" s="10"/>
    </row>
    <row r="11" spans="2:9" ht="15" customHeight="1" x14ac:dyDescent="0.25">
      <c r="B11" s="9" t="s">
        <v>11</v>
      </c>
      <c r="C11" s="9"/>
      <c r="D11" s="9" t="s">
        <v>12</v>
      </c>
      <c r="E11" s="9"/>
      <c r="F11" s="9" t="s">
        <v>12</v>
      </c>
      <c r="G11" s="9"/>
      <c r="H11" s="9" t="s">
        <v>13</v>
      </c>
      <c r="I11" s="9"/>
    </row>
    <row r="13" spans="2:9" ht="15" customHeight="1" x14ac:dyDescent="0.25">
      <c r="B13" s="11" t="s">
        <v>14</v>
      </c>
      <c r="C13" s="11"/>
      <c r="D13" s="11" t="s">
        <v>15</v>
      </c>
      <c r="E13" s="11"/>
      <c r="F13" s="11" t="s">
        <v>16</v>
      </c>
      <c r="G13" s="11"/>
      <c r="H13" s="11" t="s">
        <v>17</v>
      </c>
      <c r="I13" s="11"/>
    </row>
    <row r="14" spans="2:9" x14ac:dyDescent="0.25">
      <c r="B14" s="11"/>
      <c r="C14" s="11"/>
      <c r="D14" s="11"/>
      <c r="E14" s="11"/>
      <c r="F14" s="11"/>
      <c r="G14" s="11"/>
      <c r="H14" s="11"/>
      <c r="I14" s="11"/>
    </row>
    <row r="15" spans="2:9" x14ac:dyDescent="0.25">
      <c r="B15" s="11"/>
      <c r="C15" s="11"/>
      <c r="D15" s="11"/>
      <c r="E15" s="11"/>
      <c r="F15" s="11"/>
      <c r="G15" s="11"/>
      <c r="H15" s="11"/>
      <c r="I15" s="11"/>
    </row>
    <row r="16" spans="2:9" ht="32.85" customHeight="1" x14ac:dyDescent="0.25">
      <c r="B16" s="10" t="s">
        <v>18</v>
      </c>
      <c r="C16" s="10"/>
      <c r="D16" s="10" t="s">
        <v>19</v>
      </c>
      <c r="E16" s="10"/>
      <c r="F16" s="10" t="s">
        <v>20</v>
      </c>
      <c r="G16" s="10"/>
      <c r="H16" s="10" t="s">
        <v>21</v>
      </c>
      <c r="I16" s="10"/>
    </row>
    <row r="17" spans="2:9" ht="22.35" customHeight="1" x14ac:dyDescent="0.25">
      <c r="B17" s="9" t="s">
        <v>22</v>
      </c>
      <c r="C17" s="9"/>
      <c r="D17" s="9" t="s">
        <v>23</v>
      </c>
      <c r="E17" s="9"/>
      <c r="F17" s="9" t="s">
        <v>24</v>
      </c>
      <c r="G17" s="9"/>
      <c r="H17" s="9" t="s">
        <v>25</v>
      </c>
      <c r="I17" s="9"/>
    </row>
    <row r="19" spans="2:9" ht="18" x14ac:dyDescent="0.25">
      <c r="B19" s="12" t="s">
        <v>26</v>
      </c>
      <c r="C19" s="12"/>
      <c r="D19" s="12"/>
      <c r="E19" s="12"/>
      <c r="F19" s="12"/>
      <c r="G19" s="12"/>
      <c r="H19" s="12"/>
      <c r="I19" s="12"/>
    </row>
    <row r="20" spans="2:9" ht="31.5" customHeight="1" x14ac:dyDescent="0.25">
      <c r="B20" s="8" t="s">
        <v>27</v>
      </c>
      <c r="C20" s="8"/>
      <c r="D20" s="7" t="s">
        <v>28</v>
      </c>
      <c r="E20" s="7"/>
      <c r="F20" s="7"/>
      <c r="G20" s="7"/>
      <c r="H20" s="7"/>
      <c r="I20" s="7"/>
    </row>
    <row r="21" spans="2:9" ht="31.5" customHeight="1" x14ac:dyDescent="0.25">
      <c r="B21" s="8" t="s">
        <v>27</v>
      </c>
      <c r="C21" s="8"/>
      <c r="D21" s="7" t="s">
        <v>29</v>
      </c>
      <c r="E21" s="7"/>
      <c r="F21" s="7"/>
      <c r="G21" s="7"/>
      <c r="H21" s="7"/>
      <c r="I21" s="7"/>
    </row>
    <row r="22" spans="2:9" ht="31.5" customHeight="1" x14ac:dyDescent="0.25">
      <c r="B22" s="8" t="s">
        <v>27</v>
      </c>
      <c r="C22" s="8"/>
      <c r="D22" s="7" t="s">
        <v>30</v>
      </c>
      <c r="E22" s="7"/>
      <c r="F22" s="7"/>
      <c r="G22" s="7"/>
      <c r="H22" s="7"/>
      <c r="I22" s="7"/>
    </row>
    <row r="23" spans="2:9" ht="31.5" customHeight="1" x14ac:dyDescent="0.25">
      <c r="B23" s="8" t="s">
        <v>27</v>
      </c>
      <c r="C23" s="8"/>
      <c r="D23" s="7" t="s">
        <v>31</v>
      </c>
      <c r="E23" s="7"/>
      <c r="F23" s="7"/>
      <c r="G23" s="7"/>
      <c r="H23" s="7"/>
      <c r="I23" s="7"/>
    </row>
    <row r="24" spans="2:9" ht="31.5" customHeight="1" x14ac:dyDescent="0.25">
      <c r="B24" s="8" t="s">
        <v>27</v>
      </c>
      <c r="C24" s="8"/>
      <c r="D24" s="7" t="s">
        <v>32</v>
      </c>
      <c r="E24" s="7"/>
      <c r="F24" s="7"/>
      <c r="G24" s="7"/>
      <c r="H24" s="7"/>
      <c r="I24" s="7"/>
    </row>
    <row r="25" spans="2:9" ht="31.5" customHeight="1" x14ac:dyDescent="0.25">
      <c r="B25" s="8" t="s">
        <v>27</v>
      </c>
      <c r="C25" s="8"/>
      <c r="D25" s="7" t="s">
        <v>33</v>
      </c>
      <c r="E25" s="7"/>
      <c r="F25" s="7"/>
      <c r="G25" s="7"/>
      <c r="H25" s="7"/>
      <c r="I25" s="7"/>
    </row>
    <row r="27" spans="2:9" ht="37.5" customHeight="1" x14ac:dyDescent="0.25">
      <c r="B27" s="12" t="s">
        <v>34</v>
      </c>
      <c r="C27" s="12"/>
      <c r="D27" s="12"/>
      <c r="E27" s="12"/>
      <c r="F27" s="12"/>
      <c r="G27" s="12"/>
      <c r="H27" s="12"/>
      <c r="I27" s="12"/>
    </row>
    <row r="28" spans="2:9" ht="37.5" customHeight="1" x14ac:dyDescent="0.25">
      <c r="B28" s="6" t="s">
        <v>35</v>
      </c>
      <c r="C28" s="6"/>
      <c r="D28" s="7" t="s">
        <v>36</v>
      </c>
      <c r="E28" s="7"/>
      <c r="F28" s="7"/>
      <c r="G28" s="7"/>
      <c r="H28" s="7"/>
      <c r="I28" s="7"/>
    </row>
    <row r="29" spans="2:9" ht="37.5" customHeight="1" x14ac:dyDescent="0.25">
      <c r="B29" s="6" t="s">
        <v>37</v>
      </c>
      <c r="C29" s="6"/>
      <c r="D29" s="7" t="s">
        <v>38</v>
      </c>
      <c r="E29" s="7"/>
      <c r="F29" s="7"/>
      <c r="G29" s="7"/>
      <c r="H29" s="7"/>
      <c r="I29" s="7"/>
    </row>
    <row r="30" spans="2:9" ht="37.5" customHeight="1" x14ac:dyDescent="0.25">
      <c r="B30" s="6" t="s">
        <v>39</v>
      </c>
      <c r="C30" s="6"/>
      <c r="D30" s="7" t="s">
        <v>40</v>
      </c>
      <c r="E30" s="7"/>
      <c r="F30" s="7"/>
      <c r="G30" s="7"/>
      <c r="H30" s="7"/>
      <c r="I30" s="7"/>
    </row>
    <row r="31" spans="2:9" ht="37.5" customHeight="1" x14ac:dyDescent="0.25">
      <c r="B31" s="6" t="s">
        <v>41</v>
      </c>
      <c r="C31" s="6"/>
      <c r="D31" s="7" t="s">
        <v>42</v>
      </c>
      <c r="E31" s="7"/>
      <c r="F31" s="7"/>
      <c r="G31" s="7"/>
      <c r="H31" s="7"/>
      <c r="I31" s="7"/>
    </row>
    <row r="32" spans="2:9" ht="37.5" customHeight="1" x14ac:dyDescent="0.25">
      <c r="B32" s="6" t="s">
        <v>43</v>
      </c>
      <c r="C32" s="6"/>
      <c r="D32" s="7" t="s">
        <v>44</v>
      </c>
      <c r="E32" s="7"/>
      <c r="F32" s="7"/>
      <c r="G32" s="7"/>
      <c r="H32" s="7"/>
      <c r="I32" s="7"/>
    </row>
    <row r="33" spans="2:9" ht="37.5" customHeight="1" x14ac:dyDescent="0.25">
      <c r="B33" s="6" t="s">
        <v>45</v>
      </c>
      <c r="C33" s="6"/>
      <c r="D33" s="7" t="s">
        <v>46</v>
      </c>
      <c r="E33" s="7"/>
      <c r="F33" s="7"/>
      <c r="G33" s="7"/>
      <c r="H33" s="7"/>
      <c r="I33" s="7"/>
    </row>
    <row r="34" spans="2:9" ht="37.5" customHeight="1" x14ac:dyDescent="0.25">
      <c r="B34" s="6" t="s">
        <v>47</v>
      </c>
      <c r="C34" s="6"/>
      <c r="D34" s="7" t="s">
        <v>48</v>
      </c>
      <c r="E34" s="7"/>
      <c r="F34" s="7"/>
      <c r="G34" s="7"/>
      <c r="H34" s="7"/>
      <c r="I34" s="7"/>
    </row>
    <row r="36" spans="2:9" ht="50.25" customHeight="1" x14ac:dyDescent="0.25">
      <c r="B36" s="5" t="s">
        <v>49</v>
      </c>
      <c r="C36" s="5"/>
      <c r="D36" s="5"/>
      <c r="E36" s="5"/>
      <c r="F36" s="5"/>
      <c r="G36" s="5"/>
      <c r="H36" s="5"/>
      <c r="I36" s="5"/>
    </row>
  </sheetData>
  <mergeCells count="56">
    <mergeCell ref="B33:C33"/>
    <mergeCell ref="D33:I33"/>
    <mergeCell ref="B34:C34"/>
    <mergeCell ref="D34:I34"/>
    <mergeCell ref="B36:I36"/>
    <mergeCell ref="B30:C30"/>
    <mergeCell ref="D30:I30"/>
    <mergeCell ref="B31:C31"/>
    <mergeCell ref="D31:I31"/>
    <mergeCell ref="B32:C32"/>
    <mergeCell ref="D32:I32"/>
    <mergeCell ref="B27:I27"/>
    <mergeCell ref="B28:C28"/>
    <mergeCell ref="D28:I28"/>
    <mergeCell ref="B29:C29"/>
    <mergeCell ref="D29:I29"/>
    <mergeCell ref="B23:C23"/>
    <mergeCell ref="D23:I23"/>
    <mergeCell ref="B24:C24"/>
    <mergeCell ref="D24:I24"/>
    <mergeCell ref="B25:C25"/>
    <mergeCell ref="D25:I25"/>
    <mergeCell ref="B20:C20"/>
    <mergeCell ref="D20:I20"/>
    <mergeCell ref="B21:C21"/>
    <mergeCell ref="D21:I21"/>
    <mergeCell ref="B22:C22"/>
    <mergeCell ref="D22:I22"/>
    <mergeCell ref="B17:C17"/>
    <mergeCell ref="D17:E17"/>
    <mergeCell ref="F17:G17"/>
    <mergeCell ref="H17:I17"/>
    <mergeCell ref="B19:I19"/>
    <mergeCell ref="B13:C15"/>
    <mergeCell ref="D13:E15"/>
    <mergeCell ref="F13:G15"/>
    <mergeCell ref="H13:I15"/>
    <mergeCell ref="B16:C16"/>
    <mergeCell ref="D16:E16"/>
    <mergeCell ref="F16:G16"/>
    <mergeCell ref="H16:I16"/>
    <mergeCell ref="B10:C10"/>
    <mergeCell ref="D10:E10"/>
    <mergeCell ref="F10:G10"/>
    <mergeCell ref="H10:I10"/>
    <mergeCell ref="B11:C11"/>
    <mergeCell ref="D11:E11"/>
    <mergeCell ref="F11:G11"/>
    <mergeCell ref="H11:I11"/>
    <mergeCell ref="B2:I3"/>
    <mergeCell ref="B4:I4"/>
    <mergeCell ref="B6:I6"/>
    <mergeCell ref="B7:C9"/>
    <mergeCell ref="D7:E9"/>
    <mergeCell ref="F7:G9"/>
    <mergeCell ref="H7:I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40"/>
  <sheetViews>
    <sheetView showGridLines="0" zoomScaleNormal="100" workbookViewId="0">
      <selection activeCell="E30" sqref="E30"/>
    </sheetView>
  </sheetViews>
  <sheetFormatPr defaultColWidth="8.7109375" defaultRowHeight="15" x14ac:dyDescent="0.25"/>
  <cols>
    <col min="1" max="1" width="2" customWidth="1"/>
    <col min="2" max="2" width="42" customWidth="1"/>
    <col min="3" max="3" width="14" customWidth="1"/>
    <col min="4" max="5" width="16" customWidth="1"/>
    <col min="6" max="6" width="18" customWidth="1"/>
    <col min="7" max="7" width="3" customWidth="1"/>
    <col min="8" max="8" width="22" customWidth="1"/>
    <col min="9" max="9" width="10" customWidth="1"/>
    <col min="10" max="10" width="3" customWidth="1"/>
  </cols>
  <sheetData>
    <row r="2" spans="2:9" ht="16.5" x14ac:dyDescent="0.25">
      <c r="B2" s="4" t="s">
        <v>50</v>
      </c>
      <c r="C2" s="4"/>
      <c r="D2" s="4"/>
      <c r="E2" s="4"/>
      <c r="F2" s="4"/>
      <c r="H2" s="3" t="s">
        <v>51</v>
      </c>
      <c r="I2" s="3"/>
    </row>
    <row r="3" spans="2:9" x14ac:dyDescent="0.25">
      <c r="B3" s="2" t="s">
        <v>52</v>
      </c>
      <c r="C3" s="2"/>
      <c r="D3" s="2"/>
      <c r="E3" s="2"/>
      <c r="F3" s="2"/>
    </row>
    <row r="4" spans="2:9" ht="21.75" customHeight="1" x14ac:dyDescent="0.25">
      <c r="H4" s="15" t="s">
        <v>53</v>
      </c>
      <c r="I4" s="15" t="s">
        <v>54</v>
      </c>
    </row>
    <row r="5" spans="2:9" ht="21.75" customHeight="1" x14ac:dyDescent="0.25">
      <c r="B5" s="15" t="s">
        <v>55</v>
      </c>
      <c r="C5" s="15" t="s">
        <v>56</v>
      </c>
      <c r="D5" s="15" t="s">
        <v>57</v>
      </c>
      <c r="E5" s="15" t="s">
        <v>58</v>
      </c>
      <c r="F5" s="15" t="s">
        <v>59</v>
      </c>
      <c r="H5" s="16" t="s">
        <v>60</v>
      </c>
      <c r="I5" s="17">
        <v>0.47</v>
      </c>
    </row>
    <row r="6" spans="2:9" x14ac:dyDescent="0.25">
      <c r="B6" s="16" t="s">
        <v>61</v>
      </c>
      <c r="C6" s="18">
        <v>309.60000000000002</v>
      </c>
      <c r="D6" s="18">
        <v>165</v>
      </c>
      <c r="E6" s="18">
        <v>353</v>
      </c>
      <c r="F6" s="17">
        <f>E6/C6-1</f>
        <v>0.14018087855297146</v>
      </c>
      <c r="H6" s="19" t="s">
        <v>62</v>
      </c>
      <c r="I6" s="20">
        <v>0.32</v>
      </c>
    </row>
    <row r="7" spans="2:9" x14ac:dyDescent="0.25">
      <c r="B7" s="19" t="s">
        <v>63</v>
      </c>
      <c r="C7" s="21">
        <v>467.6</v>
      </c>
      <c r="D7" s="21">
        <v>239</v>
      </c>
      <c r="E7" s="21">
        <v>477</v>
      </c>
      <c r="F7" s="20">
        <f>E7/C7-1</f>
        <v>2.0102651839178698E-2</v>
      </c>
      <c r="H7" s="16" t="s">
        <v>64</v>
      </c>
      <c r="I7" s="17">
        <v>0.115</v>
      </c>
    </row>
    <row r="8" spans="2:9" x14ac:dyDescent="0.25">
      <c r="B8" s="16" t="s">
        <v>65</v>
      </c>
      <c r="C8" s="22">
        <f>C6*1000/C7</f>
        <v>662.10436270316507</v>
      </c>
      <c r="D8" s="22">
        <f>D6*1000/D7</f>
        <v>690.37656903765685</v>
      </c>
      <c r="E8" s="22">
        <f>E6*1000/E7</f>
        <v>740.04192872117403</v>
      </c>
      <c r="F8" s="17">
        <f>E8/C8-1</f>
        <v>0.11771190526492559</v>
      </c>
      <c r="H8" s="19" t="s">
        <v>66</v>
      </c>
      <c r="I8" s="20">
        <v>0.06</v>
      </c>
    </row>
    <row r="9" spans="2:9" ht="59.25" customHeight="1" x14ac:dyDescent="0.25">
      <c r="B9" s="5" t="s">
        <v>67</v>
      </c>
      <c r="C9" s="5"/>
      <c r="D9" s="5"/>
      <c r="E9" s="5"/>
      <c r="F9" s="5"/>
      <c r="H9" s="16" t="s">
        <v>68</v>
      </c>
      <c r="I9" s="17">
        <v>0.03</v>
      </c>
    </row>
    <row r="10" spans="2:9" x14ac:dyDescent="0.25">
      <c r="H10" s="19" t="s">
        <v>69</v>
      </c>
      <c r="I10" s="20">
        <v>2E-3</v>
      </c>
    </row>
    <row r="11" spans="2:9" x14ac:dyDescent="0.25">
      <c r="H11" s="16" t="s">
        <v>70</v>
      </c>
      <c r="I11" s="17">
        <v>3.0000000000000001E-3</v>
      </c>
    </row>
    <row r="13" spans="2:9" ht="15" customHeight="1" x14ac:dyDescent="0.25">
      <c r="H13" s="5" t="s">
        <v>71</v>
      </c>
      <c r="I13" s="5"/>
    </row>
    <row r="14" spans="2:9" x14ac:dyDescent="0.25">
      <c r="H14" s="5"/>
      <c r="I14" s="5"/>
    </row>
    <row r="15" spans="2:9" ht="44.25" customHeight="1" x14ac:dyDescent="0.25">
      <c r="H15" s="5"/>
      <c r="I15" s="5"/>
    </row>
    <row r="29" spans="2:6" ht="16.5" x14ac:dyDescent="0.25">
      <c r="B29" s="4" t="s">
        <v>72</v>
      </c>
      <c r="C29" s="4"/>
      <c r="D29" s="4"/>
      <c r="E29" s="4"/>
      <c r="F29" s="4"/>
    </row>
    <row r="31" spans="2:6" ht="21.75" customHeight="1" x14ac:dyDescent="0.25">
      <c r="B31" s="15" t="s">
        <v>73</v>
      </c>
      <c r="C31" s="15" t="s">
        <v>55</v>
      </c>
    </row>
    <row r="32" spans="2:6" x14ac:dyDescent="0.25">
      <c r="B32" s="16" t="s">
        <v>74</v>
      </c>
      <c r="C32" s="23">
        <v>0.48</v>
      </c>
    </row>
    <row r="33" spans="2:6" x14ac:dyDescent="0.25">
      <c r="B33" s="19" t="s">
        <v>75</v>
      </c>
      <c r="C33" s="24">
        <v>0.44</v>
      </c>
    </row>
    <row r="34" spans="2:6" x14ac:dyDescent="0.25">
      <c r="B34" s="16" t="s">
        <v>76</v>
      </c>
      <c r="C34" s="23">
        <v>0.42</v>
      </c>
    </row>
    <row r="35" spans="2:6" x14ac:dyDescent="0.25">
      <c r="B35" s="19" t="s">
        <v>77</v>
      </c>
      <c r="C35" s="24">
        <v>0.3</v>
      </c>
    </row>
    <row r="36" spans="2:6" x14ac:dyDescent="0.25">
      <c r="B36" s="16" t="s">
        <v>78</v>
      </c>
      <c r="C36" s="23">
        <v>0.14000000000000001</v>
      </c>
    </row>
    <row r="37" spans="2:6" x14ac:dyDescent="0.25">
      <c r="B37" s="19" t="s">
        <v>79</v>
      </c>
      <c r="C37" s="24">
        <v>0.7</v>
      </c>
    </row>
    <row r="38" spans="2:6" x14ac:dyDescent="0.25">
      <c r="B38" s="16" t="s">
        <v>80</v>
      </c>
      <c r="C38" s="23">
        <v>0.22500000000000001</v>
      </c>
    </row>
    <row r="40" spans="2:6" ht="22.35" customHeight="1" x14ac:dyDescent="0.25">
      <c r="B40" s="5" t="s">
        <v>81</v>
      </c>
      <c r="C40" s="5"/>
      <c r="D40" s="5"/>
      <c r="E40" s="5"/>
      <c r="F40" s="5"/>
    </row>
  </sheetData>
  <mergeCells count="7">
    <mergeCell ref="B29:F29"/>
    <mergeCell ref="B40:F40"/>
    <mergeCell ref="B2:F2"/>
    <mergeCell ref="H2:I2"/>
    <mergeCell ref="B3:F3"/>
    <mergeCell ref="B9:F9"/>
    <mergeCell ref="H13:I1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28"/>
  <sheetViews>
    <sheetView showGridLines="0" zoomScaleNormal="100" workbookViewId="0">
      <selection activeCell="L6" sqref="L6"/>
    </sheetView>
  </sheetViews>
  <sheetFormatPr defaultColWidth="8.7109375" defaultRowHeight="15" x14ac:dyDescent="0.25"/>
  <cols>
    <col min="1" max="1" width="2" customWidth="1"/>
    <col min="2" max="2" width="46" customWidth="1"/>
    <col min="3" max="3" width="18" customWidth="1"/>
    <col min="4" max="4" width="3" customWidth="1"/>
    <col min="5" max="5" width="36.140625" customWidth="1"/>
    <col min="6" max="6" width="16" customWidth="1"/>
    <col min="7" max="7" width="3" customWidth="1"/>
    <col min="8" max="8" width="41.42578125" customWidth="1"/>
    <col min="9" max="9" width="20" customWidth="1"/>
    <col min="10" max="10" width="3" customWidth="1"/>
  </cols>
  <sheetData>
    <row r="2" spans="2:9" ht="19.5" x14ac:dyDescent="0.3">
      <c r="B2" s="1" t="s">
        <v>82</v>
      </c>
      <c r="C2" s="1"/>
      <c r="D2" s="1"/>
      <c r="E2" s="1"/>
      <c r="F2" s="1"/>
      <c r="G2" s="1"/>
      <c r="H2" s="1"/>
      <c r="I2" s="1"/>
    </row>
    <row r="4" spans="2:9" x14ac:dyDescent="0.25">
      <c r="B4" s="45" t="s">
        <v>83</v>
      </c>
      <c r="C4" s="45"/>
      <c r="E4" s="45" t="s">
        <v>84</v>
      </c>
      <c r="F4" s="45"/>
      <c r="H4" s="45" t="s">
        <v>85</v>
      </c>
      <c r="I4" s="45"/>
    </row>
    <row r="5" spans="2:9" ht="51" customHeight="1" x14ac:dyDescent="0.25">
      <c r="B5" s="15" t="s">
        <v>86</v>
      </c>
      <c r="C5" s="15" t="s">
        <v>87</v>
      </c>
      <c r="E5" s="15" t="s">
        <v>88</v>
      </c>
      <c r="F5" s="15" t="s">
        <v>89</v>
      </c>
      <c r="H5" s="15" t="s">
        <v>55</v>
      </c>
      <c r="I5" s="15" t="s">
        <v>90</v>
      </c>
    </row>
    <row r="6" spans="2:9" ht="25.5" x14ac:dyDescent="0.25">
      <c r="B6" s="16" t="s">
        <v>91</v>
      </c>
      <c r="C6" s="23">
        <v>0.73</v>
      </c>
      <c r="E6" s="16" t="s">
        <v>92</v>
      </c>
      <c r="F6" s="23">
        <v>0.43</v>
      </c>
      <c r="H6" s="25" t="s">
        <v>93</v>
      </c>
      <c r="I6" s="16" t="s">
        <v>94</v>
      </c>
    </row>
    <row r="7" spans="2:9" ht="30" customHeight="1" x14ac:dyDescent="0.25">
      <c r="B7" s="19" t="s">
        <v>95</v>
      </c>
      <c r="C7" s="24">
        <v>0.7</v>
      </c>
      <c r="E7" s="19" t="s">
        <v>96</v>
      </c>
      <c r="F7" s="24">
        <v>0.4</v>
      </c>
      <c r="H7" s="26" t="s">
        <v>97</v>
      </c>
      <c r="I7" s="19" t="s">
        <v>98</v>
      </c>
    </row>
    <row r="8" spans="2:9" ht="54.75" customHeight="1" x14ac:dyDescent="0.25">
      <c r="B8" s="5" t="s">
        <v>99</v>
      </c>
      <c r="C8" s="5"/>
      <c r="E8" s="16" t="s">
        <v>100</v>
      </c>
      <c r="F8" s="23">
        <v>0.19</v>
      </c>
      <c r="H8" s="25" t="s">
        <v>101</v>
      </c>
      <c r="I8" s="16" t="s">
        <v>102</v>
      </c>
    </row>
    <row r="9" spans="2:9" ht="58.5" customHeight="1" x14ac:dyDescent="0.25">
      <c r="E9" s="19" t="s">
        <v>103</v>
      </c>
      <c r="F9" s="24">
        <v>0.19</v>
      </c>
      <c r="H9" s="26" t="s">
        <v>104</v>
      </c>
      <c r="I9" s="19" t="s">
        <v>105</v>
      </c>
    </row>
    <row r="10" spans="2:9" ht="22.35" customHeight="1" x14ac:dyDescent="0.25">
      <c r="E10" s="5" t="s">
        <v>106</v>
      </c>
      <c r="F10" s="5"/>
      <c r="H10" s="5" t="s">
        <v>107</v>
      </c>
      <c r="I10" s="5"/>
    </row>
    <row r="20" spans="2:9" ht="16.5" x14ac:dyDescent="0.25">
      <c r="B20" s="4" t="s">
        <v>108</v>
      </c>
      <c r="C20" s="4"/>
      <c r="D20" s="4"/>
      <c r="E20" s="4"/>
      <c r="F20" s="4"/>
      <c r="G20" s="4"/>
      <c r="H20" s="4"/>
      <c r="I20" s="4"/>
    </row>
    <row r="22" spans="2:9" ht="21.75" customHeight="1" x14ac:dyDescent="0.25">
      <c r="B22" s="15" t="s">
        <v>55</v>
      </c>
      <c r="C22" s="15" t="s">
        <v>90</v>
      </c>
    </row>
    <row r="23" spans="2:9" ht="30" customHeight="1" x14ac:dyDescent="0.25">
      <c r="B23" s="25" t="s">
        <v>109</v>
      </c>
      <c r="C23" s="23">
        <v>0.6</v>
      </c>
    </row>
    <row r="24" spans="2:9" ht="27.75" customHeight="1" x14ac:dyDescent="0.25">
      <c r="B24" s="26" t="s">
        <v>110</v>
      </c>
      <c r="C24" s="27">
        <v>2.5</v>
      </c>
    </row>
    <row r="25" spans="2:9" x14ac:dyDescent="0.25">
      <c r="B25" s="25" t="s">
        <v>111</v>
      </c>
      <c r="C25" s="23">
        <v>0.73</v>
      </c>
    </row>
    <row r="26" spans="2:9" ht="25.5" x14ac:dyDescent="0.25">
      <c r="B26" s="26" t="s">
        <v>112</v>
      </c>
      <c r="C26" s="24">
        <v>0.68</v>
      </c>
    </row>
    <row r="28" spans="2:9" ht="15" customHeight="1" x14ac:dyDescent="0.25">
      <c r="B28" s="5" t="s">
        <v>113</v>
      </c>
      <c r="C28" s="5"/>
      <c r="D28" s="5"/>
      <c r="E28" s="5"/>
      <c r="F28" s="5"/>
      <c r="G28" s="5"/>
      <c r="H28" s="5"/>
      <c r="I28" s="5"/>
    </row>
  </sheetData>
  <mergeCells count="9">
    <mergeCell ref="E10:F10"/>
    <mergeCell ref="H10:I10"/>
    <mergeCell ref="B20:I20"/>
    <mergeCell ref="B28:I28"/>
    <mergeCell ref="B2:I2"/>
    <mergeCell ref="B4:C4"/>
    <mergeCell ref="E4:F4"/>
    <mergeCell ref="H4:I4"/>
    <mergeCell ref="B8:C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16"/>
  <sheetViews>
    <sheetView showGridLines="0" topLeftCell="A6" zoomScaleNormal="100" workbookViewId="0">
      <selection activeCell="D21" sqref="D21"/>
    </sheetView>
  </sheetViews>
  <sheetFormatPr defaultColWidth="8.7109375" defaultRowHeight="15" x14ac:dyDescent="0.25"/>
  <cols>
    <col min="1" max="1" width="2" customWidth="1"/>
    <col min="2" max="2" width="18" customWidth="1"/>
    <col min="3" max="3" width="20" customWidth="1"/>
    <col min="4" max="5" width="34" customWidth="1"/>
    <col min="6" max="6" width="26" customWidth="1"/>
    <col min="7" max="7" width="3" customWidth="1"/>
  </cols>
  <sheetData>
    <row r="2" spans="2:6" ht="19.5" x14ac:dyDescent="0.3">
      <c r="B2" s="1" t="s">
        <v>114</v>
      </c>
      <c r="C2" s="1"/>
      <c r="D2" s="1"/>
      <c r="E2" s="1"/>
      <c r="F2" s="1"/>
    </row>
    <row r="3" spans="2:6" x14ac:dyDescent="0.25">
      <c r="B3" s="2" t="s">
        <v>115</v>
      </c>
      <c r="C3" s="2"/>
      <c r="D3" s="2"/>
      <c r="E3" s="2"/>
      <c r="F3" s="2"/>
    </row>
    <row r="5" spans="2:6" ht="21.75" customHeight="1" x14ac:dyDescent="0.25">
      <c r="B5" s="15" t="s">
        <v>116</v>
      </c>
      <c r="C5" s="15" t="s">
        <v>117</v>
      </c>
      <c r="D5" s="15" t="s">
        <v>118</v>
      </c>
      <c r="E5" s="15" t="s">
        <v>119</v>
      </c>
      <c r="F5" s="15" t="s">
        <v>120</v>
      </c>
    </row>
    <row r="6" spans="2:6" ht="94.5" customHeight="1" x14ac:dyDescent="0.25">
      <c r="B6" s="25" t="s">
        <v>121</v>
      </c>
      <c r="C6" s="25" t="s">
        <v>122</v>
      </c>
      <c r="D6" s="25" t="s">
        <v>123</v>
      </c>
      <c r="E6" s="25" t="s">
        <v>124</v>
      </c>
      <c r="F6" s="25" t="s">
        <v>125</v>
      </c>
    </row>
    <row r="7" spans="2:6" ht="94.5" customHeight="1" x14ac:dyDescent="0.25">
      <c r="B7" s="26" t="s">
        <v>126</v>
      </c>
      <c r="C7" s="26" t="s">
        <v>127</v>
      </c>
      <c r="D7" s="26" t="s">
        <v>128</v>
      </c>
      <c r="E7" s="26" t="s">
        <v>129</v>
      </c>
      <c r="F7" s="26" t="s">
        <v>130</v>
      </c>
    </row>
    <row r="8" spans="2:6" ht="94.5" customHeight="1" x14ac:dyDescent="0.25">
      <c r="B8" s="25" t="s">
        <v>131</v>
      </c>
      <c r="C8" s="25" t="s">
        <v>132</v>
      </c>
      <c r="D8" s="25" t="s">
        <v>133</v>
      </c>
      <c r="E8" s="25" t="s">
        <v>134</v>
      </c>
      <c r="F8" s="25" t="s">
        <v>135</v>
      </c>
    </row>
    <row r="9" spans="2:6" ht="94.5" customHeight="1" x14ac:dyDescent="0.25">
      <c r="B9" s="26" t="s">
        <v>136</v>
      </c>
      <c r="C9" s="26" t="s">
        <v>137</v>
      </c>
      <c r="D9" s="26" t="s">
        <v>138</v>
      </c>
      <c r="E9" s="26" t="s">
        <v>139</v>
      </c>
      <c r="F9" s="26" t="s">
        <v>140</v>
      </c>
    </row>
    <row r="10" spans="2:6" ht="94.5" customHeight="1" x14ac:dyDescent="0.25">
      <c r="B10" s="25" t="s">
        <v>141</v>
      </c>
      <c r="C10" s="25" t="s">
        <v>142</v>
      </c>
      <c r="D10" s="25" t="s">
        <v>143</v>
      </c>
      <c r="E10" s="25" t="s">
        <v>144</v>
      </c>
      <c r="F10" s="25" t="s">
        <v>145</v>
      </c>
    </row>
    <row r="11" spans="2:6" ht="94.5" customHeight="1" x14ac:dyDescent="0.25">
      <c r="B11" s="26" t="s">
        <v>146</v>
      </c>
      <c r="C11" s="26" t="s">
        <v>147</v>
      </c>
      <c r="D11" s="26" t="s">
        <v>148</v>
      </c>
      <c r="E11" s="26" t="s">
        <v>149</v>
      </c>
      <c r="F11" s="26" t="s">
        <v>150</v>
      </c>
    </row>
    <row r="13" spans="2:6" ht="15.75" x14ac:dyDescent="0.25">
      <c r="B13" s="3" t="s">
        <v>151</v>
      </c>
      <c r="C13" s="3"/>
      <c r="D13" s="3"/>
      <c r="E13" s="3"/>
      <c r="F13" s="3"/>
    </row>
    <row r="14" spans="2:6" ht="15" customHeight="1" x14ac:dyDescent="0.25">
      <c r="B14" s="7" t="s">
        <v>152</v>
      </c>
      <c r="C14" s="7"/>
      <c r="D14" s="7"/>
      <c r="E14" s="7"/>
      <c r="F14" s="7"/>
    </row>
    <row r="15" spans="2:6" x14ac:dyDescent="0.25">
      <c r="B15" s="7"/>
      <c r="C15" s="7"/>
      <c r="D15" s="7"/>
      <c r="E15" s="7"/>
      <c r="F15" s="7"/>
    </row>
    <row r="16" spans="2:6" ht="36.75" customHeight="1" x14ac:dyDescent="0.25">
      <c r="B16" s="7"/>
      <c r="C16" s="7"/>
      <c r="D16" s="7"/>
      <c r="E16" s="7"/>
      <c r="F16" s="7"/>
    </row>
  </sheetData>
  <mergeCells count="4">
    <mergeCell ref="B2:F2"/>
    <mergeCell ref="B3:F3"/>
    <mergeCell ref="B13:F13"/>
    <mergeCell ref="B14:F1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11"/>
  <sheetViews>
    <sheetView showGridLines="0" topLeftCell="A6" zoomScaleNormal="100" workbookViewId="0"/>
  </sheetViews>
  <sheetFormatPr defaultColWidth="8.7109375" defaultRowHeight="15" x14ac:dyDescent="0.25"/>
  <cols>
    <col min="1" max="1" width="2" customWidth="1"/>
    <col min="2" max="2" width="30" customWidth="1"/>
    <col min="3" max="4" width="40" customWidth="1"/>
    <col min="5" max="5" width="3" customWidth="1"/>
  </cols>
  <sheetData>
    <row r="2" spans="2:4" ht="19.5" x14ac:dyDescent="0.3">
      <c r="B2" s="1" t="s">
        <v>153</v>
      </c>
      <c r="C2" s="1"/>
      <c r="D2" s="1"/>
    </row>
    <row r="4" spans="2:4" ht="21.75" customHeight="1" x14ac:dyDescent="0.25">
      <c r="B4" s="15" t="s">
        <v>154</v>
      </c>
      <c r="C4" s="15" t="s">
        <v>155</v>
      </c>
      <c r="D4" s="15" t="s">
        <v>156</v>
      </c>
    </row>
    <row r="5" spans="2:4" ht="78" customHeight="1" x14ac:dyDescent="0.25">
      <c r="B5" s="25" t="s">
        <v>157</v>
      </c>
      <c r="C5" s="25" t="s">
        <v>158</v>
      </c>
      <c r="D5" s="25" t="s">
        <v>159</v>
      </c>
    </row>
    <row r="6" spans="2:4" ht="78" customHeight="1" x14ac:dyDescent="0.25">
      <c r="B6" s="26" t="s">
        <v>160</v>
      </c>
      <c r="C6" s="26" t="s">
        <v>161</v>
      </c>
      <c r="D6" s="26" t="s">
        <v>162</v>
      </c>
    </row>
    <row r="7" spans="2:4" ht="78" customHeight="1" x14ac:dyDescent="0.25">
      <c r="B7" s="25" t="s">
        <v>163</v>
      </c>
      <c r="C7" s="25" t="s">
        <v>164</v>
      </c>
      <c r="D7" s="25" t="s">
        <v>165</v>
      </c>
    </row>
    <row r="8" spans="2:4" ht="78" customHeight="1" x14ac:dyDescent="0.25">
      <c r="B8" s="26" t="s">
        <v>166</v>
      </c>
      <c r="C8" s="26" t="s">
        <v>167</v>
      </c>
      <c r="D8" s="26" t="s">
        <v>168</v>
      </c>
    </row>
    <row r="9" spans="2:4" ht="78" customHeight="1" x14ac:dyDescent="0.25">
      <c r="B9" s="25" t="s">
        <v>169</v>
      </c>
      <c r="C9" s="25" t="s">
        <v>170</v>
      </c>
      <c r="D9" s="25" t="s">
        <v>171</v>
      </c>
    </row>
    <row r="10" spans="2:4" ht="78" customHeight="1" x14ac:dyDescent="0.25">
      <c r="B10" s="26" t="s">
        <v>172</v>
      </c>
      <c r="C10" s="26" t="s">
        <v>173</v>
      </c>
      <c r="D10" s="26" t="s">
        <v>174</v>
      </c>
    </row>
    <row r="11" spans="2:4" ht="78" customHeight="1" x14ac:dyDescent="0.25">
      <c r="B11" s="25" t="s">
        <v>175</v>
      </c>
      <c r="C11" s="25" t="s">
        <v>176</v>
      </c>
      <c r="D11" s="25" t="s">
        <v>177</v>
      </c>
    </row>
  </sheetData>
  <mergeCells count="1">
    <mergeCell ref="B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38"/>
  <sheetViews>
    <sheetView showGridLines="0" topLeftCell="A14" zoomScaleNormal="100" workbookViewId="0">
      <selection activeCell="H48" sqref="H48"/>
    </sheetView>
  </sheetViews>
  <sheetFormatPr defaultColWidth="8.7109375" defaultRowHeight="15" x14ac:dyDescent="0.25"/>
  <cols>
    <col min="1" max="1" width="2" customWidth="1"/>
    <col min="2" max="2" width="30" customWidth="1"/>
    <col min="3" max="3" width="42" customWidth="1"/>
    <col min="4" max="6" width="10" customWidth="1"/>
    <col min="7" max="8" width="12" customWidth="1"/>
    <col min="9" max="9" width="3" customWidth="1"/>
  </cols>
  <sheetData>
    <row r="2" spans="2:8" ht="19.5" x14ac:dyDescent="0.3">
      <c r="B2" s="1" t="s">
        <v>178</v>
      </c>
      <c r="C2" s="1"/>
      <c r="D2" s="1"/>
      <c r="E2" s="1"/>
      <c r="F2" s="1"/>
      <c r="G2" s="1"/>
      <c r="H2" s="1"/>
    </row>
    <row r="3" spans="2:8" ht="42" customHeight="1" x14ac:dyDescent="0.25">
      <c r="B3" s="5" t="s">
        <v>179</v>
      </c>
      <c r="C3" s="5"/>
      <c r="D3" s="5"/>
      <c r="E3" s="5"/>
      <c r="F3" s="5"/>
      <c r="G3" s="5"/>
      <c r="H3" s="5"/>
    </row>
    <row r="5" spans="2:8" ht="33.75" customHeight="1" x14ac:dyDescent="0.25">
      <c r="B5" s="15" t="s">
        <v>180</v>
      </c>
      <c r="C5" s="15" t="s">
        <v>181</v>
      </c>
      <c r="D5" s="15" t="s">
        <v>182</v>
      </c>
      <c r="E5" s="15" t="s">
        <v>183</v>
      </c>
      <c r="F5" s="15" t="s">
        <v>184</v>
      </c>
      <c r="G5" s="15" t="s">
        <v>185</v>
      </c>
      <c r="H5" s="15" t="s">
        <v>186</v>
      </c>
    </row>
    <row r="6" spans="2:8" ht="45.75" customHeight="1" x14ac:dyDescent="0.25">
      <c r="B6" s="28" t="s">
        <v>187</v>
      </c>
      <c r="C6" s="25" t="s">
        <v>188</v>
      </c>
      <c r="D6" s="29">
        <v>9</v>
      </c>
      <c r="E6" s="29">
        <v>2</v>
      </c>
      <c r="F6" s="30">
        <v>0.8</v>
      </c>
      <c r="G6" s="29">
        <v>4</v>
      </c>
      <c r="H6" s="31">
        <f t="shared" ref="H6:H14" si="0">D6*E6*F6/G6</f>
        <v>3.6</v>
      </c>
    </row>
    <row r="7" spans="2:8" ht="45.75" customHeight="1" x14ac:dyDescent="0.25">
      <c r="B7" s="32" t="s">
        <v>189</v>
      </c>
      <c r="C7" s="26" t="s">
        <v>190</v>
      </c>
      <c r="D7" s="29">
        <v>10</v>
      </c>
      <c r="E7" s="29">
        <v>3</v>
      </c>
      <c r="F7" s="30">
        <v>0.9</v>
      </c>
      <c r="G7" s="29">
        <v>6</v>
      </c>
      <c r="H7" s="31">
        <f t="shared" si="0"/>
        <v>4.5</v>
      </c>
    </row>
    <row r="8" spans="2:8" ht="45.75" customHeight="1" x14ac:dyDescent="0.25">
      <c r="B8" s="28" t="s">
        <v>191</v>
      </c>
      <c r="C8" s="25" t="s">
        <v>192</v>
      </c>
      <c r="D8" s="29">
        <v>7</v>
      </c>
      <c r="E8" s="29">
        <v>2</v>
      </c>
      <c r="F8" s="30">
        <v>0.7</v>
      </c>
      <c r="G8" s="29">
        <v>3</v>
      </c>
      <c r="H8" s="31">
        <f t="shared" si="0"/>
        <v>3.2666666666666662</v>
      </c>
    </row>
    <row r="9" spans="2:8" ht="45.75" customHeight="1" x14ac:dyDescent="0.25">
      <c r="B9" s="32" t="s">
        <v>193</v>
      </c>
      <c r="C9" s="26" t="s">
        <v>194</v>
      </c>
      <c r="D9" s="29">
        <v>6</v>
      </c>
      <c r="E9" s="29">
        <v>1</v>
      </c>
      <c r="F9" s="30">
        <v>0.7</v>
      </c>
      <c r="G9" s="29">
        <v>3</v>
      </c>
      <c r="H9" s="31">
        <f t="shared" si="0"/>
        <v>1.3999999999999997</v>
      </c>
    </row>
    <row r="10" spans="2:8" ht="45.75" customHeight="1" x14ac:dyDescent="0.25">
      <c r="B10" s="28" t="s">
        <v>195</v>
      </c>
      <c r="C10" s="25" t="s">
        <v>196</v>
      </c>
      <c r="D10" s="29">
        <v>6</v>
      </c>
      <c r="E10" s="29">
        <v>1</v>
      </c>
      <c r="F10" s="30">
        <v>0.6</v>
      </c>
      <c r="G10" s="29">
        <v>2</v>
      </c>
      <c r="H10" s="31">
        <f t="shared" si="0"/>
        <v>1.7999999999999998</v>
      </c>
    </row>
    <row r="11" spans="2:8" ht="45.75" customHeight="1" x14ac:dyDescent="0.25">
      <c r="B11" s="32" t="s">
        <v>197</v>
      </c>
      <c r="C11" s="26" t="s">
        <v>198</v>
      </c>
      <c r="D11" s="29">
        <v>5</v>
      </c>
      <c r="E11" s="29">
        <v>2</v>
      </c>
      <c r="F11" s="30">
        <v>0.5</v>
      </c>
      <c r="G11" s="29">
        <v>5</v>
      </c>
      <c r="H11" s="31">
        <f t="shared" si="0"/>
        <v>1</v>
      </c>
    </row>
    <row r="12" spans="2:8" ht="45.75" customHeight="1" x14ac:dyDescent="0.25">
      <c r="B12" s="28" t="s">
        <v>199</v>
      </c>
      <c r="C12" s="25" t="s">
        <v>200</v>
      </c>
      <c r="D12" s="29">
        <v>6</v>
      </c>
      <c r="E12" s="29">
        <v>1</v>
      </c>
      <c r="F12" s="30">
        <v>0.7</v>
      </c>
      <c r="G12" s="29">
        <v>2</v>
      </c>
      <c r="H12" s="31">
        <f t="shared" si="0"/>
        <v>2.0999999999999996</v>
      </c>
    </row>
    <row r="13" spans="2:8" ht="45.75" customHeight="1" x14ac:dyDescent="0.25">
      <c r="B13" s="32" t="s">
        <v>201</v>
      </c>
      <c r="C13" s="26" t="s">
        <v>202</v>
      </c>
      <c r="D13" s="29">
        <v>4</v>
      </c>
      <c r="E13" s="29">
        <v>1</v>
      </c>
      <c r="F13" s="30">
        <v>0.6</v>
      </c>
      <c r="G13" s="29">
        <v>4</v>
      </c>
      <c r="H13" s="31">
        <f t="shared" si="0"/>
        <v>0.6</v>
      </c>
    </row>
    <row r="14" spans="2:8" ht="45.75" customHeight="1" x14ac:dyDescent="0.25">
      <c r="B14" s="28" t="s">
        <v>203</v>
      </c>
      <c r="C14" s="25" t="s">
        <v>204</v>
      </c>
      <c r="D14" s="29">
        <v>5</v>
      </c>
      <c r="E14" s="29">
        <v>2</v>
      </c>
      <c r="F14" s="30">
        <v>0.5</v>
      </c>
      <c r="G14" s="29">
        <v>3</v>
      </c>
      <c r="H14" s="31">
        <f t="shared" si="0"/>
        <v>1.6666666666666667</v>
      </c>
    </row>
    <row r="38" spans="2:8" ht="22.35" customHeight="1" x14ac:dyDescent="0.25">
      <c r="B38" s="5" t="s">
        <v>205</v>
      </c>
      <c r="C38" s="5"/>
      <c r="D38" s="5"/>
      <c r="E38" s="5"/>
      <c r="F38" s="5"/>
      <c r="G38" s="5"/>
      <c r="H38" s="5"/>
    </row>
  </sheetData>
  <mergeCells count="3">
    <mergeCell ref="B2:H2"/>
    <mergeCell ref="B3:H3"/>
    <mergeCell ref="B38:H38"/>
  </mergeCells>
  <conditionalFormatting sqref="H6:H14">
    <cfRule type="dataBar" priority="2">
      <dataBar>
        <cfvo type="min"/>
        <cfvo type="max"/>
        <color rgb="FF2E5C8A"/>
      </dataBar>
      <extLst>
        <ext xmlns:x14="http://schemas.microsoft.com/office/spreadsheetml/2009/9/main" uri="{B025F937-C7B1-47D3-B67F-A62EFF666E3E}">
          <x14:id>{4DB9A4AC-FC25-47F0-9F8F-3414D7104184}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B9A4AC-FC25-47F0-9F8F-3414D7104184}">
            <x14:dataBar axisPosition="none">
              <x14:cfvo type="min"/>
              <x14:cfvo type="max"/>
              <x14:negativeFillColor rgb="FF2E5C8A"/>
            </x14:dataBar>
          </x14:cfRule>
          <xm:sqref>H6:H14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D22"/>
  <sheetViews>
    <sheetView showGridLines="0" zoomScaleNormal="100" workbookViewId="0">
      <selection activeCell="J8" sqref="J8"/>
    </sheetView>
  </sheetViews>
  <sheetFormatPr defaultColWidth="8.7109375" defaultRowHeight="15" x14ac:dyDescent="0.25"/>
  <cols>
    <col min="1" max="1" width="2" customWidth="1"/>
    <col min="2" max="2" width="42" customWidth="1"/>
    <col min="3" max="4" width="20" customWidth="1"/>
    <col min="5" max="5" width="3" customWidth="1"/>
  </cols>
  <sheetData>
    <row r="2" spans="2:4" ht="19.5" x14ac:dyDescent="0.3">
      <c r="B2" s="1" t="s">
        <v>206</v>
      </c>
      <c r="C2" s="1"/>
      <c r="D2" s="1"/>
    </row>
    <row r="3" spans="2:4" ht="15" customHeight="1" x14ac:dyDescent="0.25">
      <c r="B3" s="5" t="s">
        <v>207</v>
      </c>
      <c r="C3" s="5"/>
      <c r="D3" s="5"/>
    </row>
    <row r="4" spans="2:4" ht="33.75" customHeight="1" x14ac:dyDescent="0.25">
      <c r="B4" s="5"/>
      <c r="C4" s="5"/>
      <c r="D4" s="5"/>
    </row>
    <row r="6" spans="2:4" ht="47.25" customHeight="1" x14ac:dyDescent="0.25">
      <c r="B6" s="15" t="s">
        <v>208</v>
      </c>
      <c r="C6" s="15" t="s">
        <v>209</v>
      </c>
      <c r="D6" s="15" t="s">
        <v>90</v>
      </c>
    </row>
    <row r="7" spans="2:4" ht="47.25" customHeight="1" x14ac:dyDescent="0.25">
      <c r="B7" s="28" t="s">
        <v>210</v>
      </c>
      <c r="C7" s="25" t="s">
        <v>211</v>
      </c>
      <c r="D7" s="33">
        <v>353</v>
      </c>
    </row>
    <row r="8" spans="2:4" ht="47.25" customHeight="1" x14ac:dyDescent="0.25"/>
    <row r="9" spans="2:4" ht="47.25" customHeight="1" x14ac:dyDescent="0.25">
      <c r="B9" s="25" t="s">
        <v>212</v>
      </c>
      <c r="C9" s="34"/>
      <c r="D9" s="35">
        <v>0.35</v>
      </c>
    </row>
    <row r="10" spans="2:4" ht="47.25" customHeight="1" x14ac:dyDescent="0.25">
      <c r="B10" s="28" t="s">
        <v>213</v>
      </c>
      <c r="C10" s="34"/>
      <c r="D10" s="36">
        <f>D7*D9</f>
        <v>123.55</v>
      </c>
    </row>
    <row r="11" spans="2:4" ht="47.25" customHeight="1" x14ac:dyDescent="0.25"/>
    <row r="12" spans="2:4" ht="47.25" customHeight="1" x14ac:dyDescent="0.25">
      <c r="B12" s="25" t="s">
        <v>214</v>
      </c>
      <c r="C12" s="34"/>
      <c r="D12" s="37">
        <v>0.02</v>
      </c>
    </row>
    <row r="13" spans="2:4" ht="47.25" customHeight="1" x14ac:dyDescent="0.25">
      <c r="B13" s="28" t="s">
        <v>215</v>
      </c>
      <c r="C13" s="34"/>
      <c r="D13" s="38">
        <f>D10*D12</f>
        <v>2.4710000000000001</v>
      </c>
    </row>
    <row r="14" spans="2:4" ht="47.25" customHeight="1" x14ac:dyDescent="0.25"/>
    <row r="15" spans="2:4" ht="47.25" customHeight="1" x14ac:dyDescent="0.25">
      <c r="B15" s="25" t="s">
        <v>216</v>
      </c>
      <c r="C15" s="34"/>
      <c r="D15" s="35">
        <v>0.08</v>
      </c>
    </row>
    <row r="16" spans="2:4" ht="47.25" customHeight="1" x14ac:dyDescent="0.25">
      <c r="B16" s="28" t="s">
        <v>217</v>
      </c>
      <c r="C16" s="34"/>
      <c r="D16" s="39">
        <f>D13*D15*1000</f>
        <v>197.68000000000004</v>
      </c>
    </row>
    <row r="19" spans="2:3" x14ac:dyDescent="0.25">
      <c r="B19" s="40" t="s">
        <v>208</v>
      </c>
      <c r="C19" s="40" t="s">
        <v>218</v>
      </c>
    </row>
    <row r="20" spans="2:3" x14ac:dyDescent="0.25">
      <c r="B20" s="41" t="s">
        <v>219</v>
      </c>
      <c r="C20" s="42">
        <f>D7</f>
        <v>353</v>
      </c>
    </row>
    <row r="21" spans="2:3" x14ac:dyDescent="0.25">
      <c r="B21" s="41" t="s">
        <v>220</v>
      </c>
      <c r="C21" s="42">
        <f>D10</f>
        <v>123.55</v>
      </c>
    </row>
    <row r="22" spans="2:3" x14ac:dyDescent="0.25">
      <c r="B22" s="41" t="s">
        <v>221</v>
      </c>
      <c r="C22" s="42">
        <f>D13</f>
        <v>2.4710000000000001</v>
      </c>
    </row>
  </sheetData>
  <mergeCells count="2">
    <mergeCell ref="B2:D2"/>
    <mergeCell ref="B3:D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D26"/>
  <sheetViews>
    <sheetView showGridLines="0" tabSelected="1" topLeftCell="A16" zoomScaleNormal="100" workbookViewId="0">
      <selection activeCell="G26" sqref="G26"/>
    </sheetView>
  </sheetViews>
  <sheetFormatPr defaultColWidth="8.7109375" defaultRowHeight="15" x14ac:dyDescent="0.25"/>
  <cols>
    <col min="1" max="1" width="2" customWidth="1"/>
    <col min="2" max="2" width="46" customWidth="1"/>
    <col min="3" max="3" width="16" customWidth="1"/>
    <col min="4" max="4" width="60" customWidth="1"/>
    <col min="5" max="5" width="3" customWidth="1"/>
  </cols>
  <sheetData>
    <row r="2" spans="2:4" ht="19.5" x14ac:dyDescent="0.3">
      <c r="B2" s="1" t="s">
        <v>222</v>
      </c>
      <c r="C2" s="1"/>
      <c r="D2" s="1"/>
    </row>
    <row r="4" spans="2:4" ht="46.5" customHeight="1" x14ac:dyDescent="0.25">
      <c r="B4" s="15" t="s">
        <v>223</v>
      </c>
      <c r="C4" s="15" t="s">
        <v>224</v>
      </c>
      <c r="D4" s="15" t="s">
        <v>225</v>
      </c>
    </row>
    <row r="5" spans="2:4" ht="46.5" customHeight="1" x14ac:dyDescent="0.25">
      <c r="B5" s="25" t="s">
        <v>226</v>
      </c>
      <c r="C5" s="16" t="s">
        <v>227</v>
      </c>
      <c r="D5" s="43" t="s">
        <v>228</v>
      </c>
    </row>
    <row r="6" spans="2:4" ht="46.5" customHeight="1" x14ac:dyDescent="0.25">
      <c r="B6" s="26" t="s">
        <v>229</v>
      </c>
      <c r="C6" s="19" t="s">
        <v>227</v>
      </c>
      <c r="D6" s="44" t="s">
        <v>230</v>
      </c>
    </row>
    <row r="7" spans="2:4" ht="46.5" customHeight="1" x14ac:dyDescent="0.25">
      <c r="B7" s="25" t="s">
        <v>231</v>
      </c>
      <c r="C7" s="16" t="s">
        <v>232</v>
      </c>
      <c r="D7" s="43" t="s">
        <v>233</v>
      </c>
    </row>
    <row r="8" spans="2:4" ht="46.5" customHeight="1" x14ac:dyDescent="0.25">
      <c r="B8" s="26" t="s">
        <v>234</v>
      </c>
      <c r="C8" s="19" t="s">
        <v>235</v>
      </c>
      <c r="D8" s="44" t="s">
        <v>236</v>
      </c>
    </row>
    <row r="9" spans="2:4" ht="46.5" customHeight="1" x14ac:dyDescent="0.25">
      <c r="B9" s="25" t="s">
        <v>237</v>
      </c>
      <c r="C9" s="16" t="s">
        <v>238</v>
      </c>
      <c r="D9" s="43" t="s">
        <v>239</v>
      </c>
    </row>
    <row r="10" spans="2:4" ht="46.5" customHeight="1" x14ac:dyDescent="0.25">
      <c r="B10" s="26" t="s">
        <v>240</v>
      </c>
      <c r="C10" s="19" t="s">
        <v>241</v>
      </c>
      <c r="D10" s="44" t="s">
        <v>242</v>
      </c>
    </row>
    <row r="11" spans="2:4" ht="46.5" customHeight="1" x14ac:dyDescent="0.25">
      <c r="B11" s="25" t="s">
        <v>243</v>
      </c>
      <c r="C11" s="16" t="s">
        <v>244</v>
      </c>
      <c r="D11" s="43" t="s">
        <v>245</v>
      </c>
    </row>
    <row r="12" spans="2:4" ht="46.5" customHeight="1" x14ac:dyDescent="0.25">
      <c r="B12" s="26" t="s">
        <v>246</v>
      </c>
      <c r="C12" s="19" t="s">
        <v>247</v>
      </c>
      <c r="D12" s="44" t="s">
        <v>248</v>
      </c>
    </row>
    <row r="13" spans="2:4" ht="46.5" customHeight="1" x14ac:dyDescent="0.25">
      <c r="B13" s="25" t="s">
        <v>249</v>
      </c>
      <c r="C13" s="16" t="s">
        <v>250</v>
      </c>
      <c r="D13" s="43" t="s">
        <v>251</v>
      </c>
    </row>
    <row r="14" spans="2:4" ht="46.5" customHeight="1" x14ac:dyDescent="0.25">
      <c r="B14" s="26" t="s">
        <v>252</v>
      </c>
      <c r="C14" s="19" t="s">
        <v>253</v>
      </c>
      <c r="D14" s="44" t="s">
        <v>254</v>
      </c>
    </row>
    <row r="15" spans="2:4" ht="46.5" customHeight="1" x14ac:dyDescent="0.25">
      <c r="B15" s="25" t="s">
        <v>255</v>
      </c>
      <c r="C15" s="16" t="s">
        <v>256</v>
      </c>
      <c r="D15" s="43" t="s">
        <v>257</v>
      </c>
    </row>
    <row r="16" spans="2:4" ht="46.5" customHeight="1" x14ac:dyDescent="0.25">
      <c r="B16" s="26" t="s">
        <v>258</v>
      </c>
      <c r="C16" s="19" t="s">
        <v>241</v>
      </c>
      <c r="D16" s="44" t="s">
        <v>259</v>
      </c>
    </row>
    <row r="17" spans="2:4" ht="46.5" customHeight="1" x14ac:dyDescent="0.25">
      <c r="B17" s="25" t="s">
        <v>260</v>
      </c>
      <c r="C17" s="16" t="s">
        <v>261</v>
      </c>
      <c r="D17" s="43" t="s">
        <v>262</v>
      </c>
    </row>
    <row r="18" spans="2:4" ht="46.5" customHeight="1" x14ac:dyDescent="0.25">
      <c r="B18" s="26" t="s">
        <v>263</v>
      </c>
      <c r="C18" s="19" t="s">
        <v>227</v>
      </c>
      <c r="D18" s="44" t="s">
        <v>264</v>
      </c>
    </row>
    <row r="19" spans="2:4" ht="46.5" customHeight="1" x14ac:dyDescent="0.25">
      <c r="B19" s="25" t="s">
        <v>265</v>
      </c>
      <c r="C19" s="16" t="s">
        <v>250</v>
      </c>
      <c r="D19" s="43" t="s">
        <v>266</v>
      </c>
    </row>
    <row r="20" spans="2:4" ht="46.5" customHeight="1" x14ac:dyDescent="0.25">
      <c r="B20" s="26" t="s">
        <v>267</v>
      </c>
      <c r="C20" s="19" t="s">
        <v>268</v>
      </c>
      <c r="D20" s="44" t="s">
        <v>269</v>
      </c>
    </row>
    <row r="21" spans="2:4" ht="46.5" customHeight="1" x14ac:dyDescent="0.25">
      <c r="B21" s="25" t="s">
        <v>270</v>
      </c>
      <c r="C21" s="16" t="s">
        <v>271</v>
      </c>
      <c r="D21" s="43" t="s">
        <v>272</v>
      </c>
    </row>
    <row r="22" spans="2:4" ht="46.5" customHeight="1" x14ac:dyDescent="0.25">
      <c r="B22" s="26" t="s">
        <v>273</v>
      </c>
      <c r="C22" s="19" t="s">
        <v>274</v>
      </c>
      <c r="D22" s="44" t="s">
        <v>275</v>
      </c>
    </row>
    <row r="23" spans="2:4" ht="46.5" customHeight="1" x14ac:dyDescent="0.25">
      <c r="B23" s="25" t="s">
        <v>276</v>
      </c>
      <c r="C23" s="16" t="s">
        <v>277</v>
      </c>
      <c r="D23" s="43" t="s">
        <v>278</v>
      </c>
    </row>
    <row r="25" spans="2:4" ht="15" customHeight="1" x14ac:dyDescent="0.25">
      <c r="B25" s="5" t="s">
        <v>279</v>
      </c>
      <c r="C25" s="5"/>
      <c r="D25" s="5"/>
    </row>
    <row r="26" spans="2:4" ht="29.25" customHeight="1" x14ac:dyDescent="0.25">
      <c r="B26" s="5"/>
      <c r="C26" s="5"/>
      <c r="D26" s="5"/>
    </row>
  </sheetData>
  <mergeCells count="2">
    <mergeCell ref="B2:D2"/>
    <mergeCell ref="B25:D2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Резюме</vt:lpstr>
      <vt:lpstr>Рынок и динамика</vt:lpstr>
      <vt:lpstr>Аудитория и поведение</vt:lpstr>
      <vt:lpstr>Конкурентный ландшафт</vt:lpstr>
      <vt:lpstr>Боли и возможности</vt:lpstr>
      <vt:lpstr>Продуктовые гипотезы (RICE)</vt:lpstr>
      <vt:lpstr>TAM-SAM-SOM</vt:lpstr>
      <vt:lpstr>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Anton Krutov</cp:lastModifiedBy>
  <cp:revision>1</cp:revision>
  <dcterms:created xsi:type="dcterms:W3CDTF">2026-09-14T05:42:19Z</dcterms:created>
  <dcterms:modified xsi:type="dcterms:W3CDTF">2026-09-14T05:47:11Z</dcterms:modified>
  <dc:language>en-US</dc:language>
</cp:coreProperties>
</file>